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aran\Documents\Academia\repository_clones\Bioindustrial-Park\biorefineries\isobutanol\analyses\full\parameter_distributions\"/>
    </mc:Choice>
  </mc:AlternateContent>
  <xr:revisionPtr revIDLastSave="0" documentId="13_ncr:1_{C694A648-E4D0-44C8-A6BD-18956F80F93B}" xr6:coauthVersionLast="47" xr6:coauthVersionMax="47" xr10:uidLastSave="{00000000-0000-0000-0000-000000000000}"/>
  <bookViews>
    <workbookView xWindow="5200" yWindow="0" windowWidth="2049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G17" i="1" s="1"/>
  <c r="I16" i="1"/>
  <c r="G16" i="1"/>
  <c r="I19" i="1"/>
  <c r="H19" i="1"/>
  <c r="G19" i="1"/>
  <c r="H5" i="1"/>
  <c r="H4" i="1"/>
  <c r="H6" i="1"/>
  <c r="H14" i="1"/>
  <c r="H18" i="1"/>
  <c r="I18" i="1"/>
  <c r="G18" i="1"/>
  <c r="I12" i="1"/>
  <c r="G12" i="1"/>
  <c r="I11" i="1"/>
  <c r="G11" i="1"/>
  <c r="I9" i="1"/>
  <c r="G9" i="1"/>
  <c r="I10" i="1"/>
  <c r="G10" i="1"/>
  <c r="I8" i="1"/>
  <c r="G8" i="1"/>
  <c r="I17" i="1" l="1"/>
  <c r="I3" i="1" l="1"/>
  <c r="H3" i="1"/>
  <c r="G3" i="1"/>
  <c r="I14" i="1" l="1"/>
  <c r="G14" i="1"/>
  <c r="I7" i="1" l="1"/>
  <c r="G7" i="1"/>
</calcChain>
</file>

<file path=xl/sharedStrings.xml><?xml version="1.0" encoding="utf-8"?>
<sst xmlns="http://schemas.openxmlformats.org/spreadsheetml/2006/main" count="437" uniqueCount="171">
  <si>
    <t>Parameter name</t>
  </si>
  <si>
    <t>Element</t>
  </si>
  <si>
    <t>Units</t>
  </si>
  <si>
    <t>Shape</t>
  </si>
  <si>
    <t>Lower</t>
  </si>
  <si>
    <t>Midpoint</t>
  </si>
  <si>
    <t>Upper</t>
  </si>
  <si>
    <t>TEA</t>
  </si>
  <si>
    <t>%</t>
  </si>
  <si>
    <t>$/wet-kg</t>
  </si>
  <si>
    <t>$/kg</t>
  </si>
  <si>
    <t>$/kWh</t>
  </si>
  <si>
    <t>N/A</t>
  </si>
  <si>
    <t>Storage</t>
  </si>
  <si>
    <t>h</t>
  </si>
  <si>
    <t>Feedstock unit price</t>
  </si>
  <si>
    <t>Natural gas unit price</t>
  </si>
  <si>
    <t>Electricity unit price</t>
  </si>
  <si>
    <t>Blank parameter</t>
  </si>
  <si>
    <t>Uniform</t>
  </si>
  <si>
    <t>Kind</t>
  </si>
  <si>
    <t>isolated</t>
  </si>
  <si>
    <t>coupled</t>
  </si>
  <si>
    <t>Baseline</t>
  </si>
  <si>
    <t>feedstock.T = feedstock.T</t>
  </si>
  <si>
    <t>feedstock.price = x</t>
  </si>
  <si>
    <t>PowerUtility.price = x</t>
  </si>
  <si>
    <t>References</t>
  </si>
  <si>
    <t>Triangular</t>
  </si>
  <si>
    <t>BT701.natural_gas_price = x</t>
  </si>
  <si>
    <t>Plant annual operating days</t>
  </si>
  <si>
    <t>tea.operating_days = x</t>
  </si>
  <si>
    <t>d</t>
  </si>
  <si>
    <t>Federal corporate tax rate</t>
  </si>
  <si>
    <t>Internal rate of return</t>
  </si>
  <si>
    <t>tea.IRR = x</t>
  </si>
  <si>
    <t>tea.income_tax = x</t>
  </si>
  <si>
    <t>Lime unit price</t>
  </si>
  <si>
    <t>Sulfuric acid unit price</t>
  </si>
  <si>
    <t>lime_fresh.price = x</t>
  </si>
  <si>
    <t>sulfuric_acid_fresh.price = sulfuric_acid_fresh2.price = x</t>
  </si>
  <si>
    <t>Load statement</t>
  </si>
  <si>
    <t>Feedstock capacity</t>
  </si>
  <si>
    <t>Feedstock</t>
  </si>
  <si>
    <t>kg/h</t>
  </si>
  <si>
    <t>feedstock.F_mass = x</t>
  </si>
  <si>
    <t>Ammonia unit price</t>
  </si>
  <si>
    <t>ammonia.price = x</t>
  </si>
  <si>
    <t>yeast.price = x</t>
  </si>
  <si>
    <t>Yeast unit price</t>
  </si>
  <si>
    <t>Alpha amylase unit price</t>
  </si>
  <si>
    <t>alpha_amylase.price = x</t>
  </si>
  <si>
    <t>Gluco amylase unit price</t>
  </si>
  <si>
    <t>gluco_amylase.price = x</t>
  </si>
  <si>
    <t>Denaturant unit price</t>
  </si>
  <si>
    <t>denaturant.price = x</t>
  </si>
  <si>
    <t>Steam jet cooking unit price</t>
  </si>
  <si>
    <t>Product ethanol storage time</t>
  </si>
  <si>
    <t>Product isobutanol storage time</t>
  </si>
  <si>
    <t>V513.tau = x</t>
  </si>
  <si>
    <t>V514.tau = x</t>
  </si>
  <si>
    <t>Fermentation Kinetics</t>
  </si>
  <si>
    <t>k_2</t>
  </si>
  <si>
    <t>V406.kinetic_reaction_system._te.k_2 = x</t>
  </si>
  <si>
    <t>k_1e</t>
  </si>
  <si>
    <t>V406.kinetic_reaction_system._te.k_1e = x</t>
  </si>
  <si>
    <t>k_1h</t>
  </si>
  <si>
    <t>V406.kinetic_reaction_system._te.k_1h = x</t>
  </si>
  <si>
    <t>k_1ie</t>
  </si>
  <si>
    <t>V406.kinetic_reaction_system._te.k_1ie = x</t>
  </si>
  <si>
    <t>k_1ia</t>
  </si>
  <si>
    <t>V406.kinetic_reaction_system._te.k_1ia = x</t>
  </si>
  <si>
    <t>k_1ii</t>
  </si>
  <si>
    <t>V406.kinetic_reaction_system._te.k_1ii = x</t>
  </si>
  <si>
    <t>k_1l</t>
  </si>
  <si>
    <t>V406.kinetic_reaction_system._te.k_1l = x</t>
  </si>
  <si>
    <t>k_3</t>
  </si>
  <si>
    <t>V406.kinetic_reaction_system._te.k_3 = x</t>
  </si>
  <si>
    <t>k_4</t>
  </si>
  <si>
    <t>V406.kinetic_reaction_system._te.k_4 = x</t>
  </si>
  <si>
    <t>K_1l</t>
  </si>
  <si>
    <t>V406.kinetic_reaction_system._te.K_1l = x</t>
  </si>
  <si>
    <t>K_1h</t>
  </si>
  <si>
    <t>g_per_l_per_h</t>
  </si>
  <si>
    <t>triangular</t>
  </si>
  <si>
    <t>g_per_l</t>
  </si>
  <si>
    <t>V406.kinetic_reaction_system._te.K_1h = x</t>
  </si>
  <si>
    <t>K_1i</t>
  </si>
  <si>
    <t>V406.kinetic_reaction_system._te.K_1i = x</t>
  </si>
  <si>
    <t>K_1e</t>
  </si>
  <si>
    <t>V406.kinetic_reaction_system._te.K_1e = x</t>
  </si>
  <si>
    <t>K_2</t>
  </si>
  <si>
    <t>V406.kinetic_reaction_system._te.K_2 = x</t>
  </si>
  <si>
    <t>K_2i</t>
  </si>
  <si>
    <t>V406.kinetic_reaction_system._te.K_2i = x</t>
  </si>
  <si>
    <t>K_3</t>
  </si>
  <si>
    <t>V406.kinetic_reaction_system._te.K_3 = x</t>
  </si>
  <si>
    <t>k_4ie</t>
  </si>
  <si>
    <t>V406.kinetic_reaction_system._te.k_4ie = x</t>
  </si>
  <si>
    <t>k_4ia</t>
  </si>
  <si>
    <t>V406.kinetic_reaction_system._te.k_4ia = x</t>
  </si>
  <si>
    <t>k_4ii</t>
  </si>
  <si>
    <t>V406.kinetic_reaction_system._te.k_4ii = x</t>
  </si>
  <si>
    <t>K_4</t>
  </si>
  <si>
    <t>V406.kinetic_reaction_system._te.K_4 = x</t>
  </si>
  <si>
    <t>k_5</t>
  </si>
  <si>
    <t>V406.kinetic_reaction_system._te.k_5 = x</t>
  </si>
  <si>
    <t>K_5</t>
  </si>
  <si>
    <t>V406.kinetic_reaction_system._te.K_5 = x</t>
  </si>
  <si>
    <t>k_5e</t>
  </si>
  <si>
    <t>V406.kinetic_reaction_system._te.k_5e = x</t>
  </si>
  <si>
    <t>K_5e</t>
  </si>
  <si>
    <t>V406.kinetic_reaction_system._te.K_5e = x</t>
  </si>
  <si>
    <t>K_5i</t>
  </si>
  <si>
    <t>V406.kinetic_reaction_system._te.K_5i = x</t>
  </si>
  <si>
    <t>k_6</t>
  </si>
  <si>
    <t>V406.kinetic_reaction_system._te.k_6 = x</t>
  </si>
  <si>
    <t>k_6r</t>
  </si>
  <si>
    <t>V406.kinetic_reaction_system._te.k_6r = x</t>
  </si>
  <si>
    <t>K_6</t>
  </si>
  <si>
    <t>V406.kinetic_reaction_system._te.K_6 = x</t>
  </si>
  <si>
    <t>K_6e</t>
  </si>
  <si>
    <t>V406.kinetic_reaction_system._te.K_6e = x</t>
  </si>
  <si>
    <t>k_7</t>
  </si>
  <si>
    <t>V406.kinetic_reaction_system._te.k_7 = x</t>
  </si>
  <si>
    <t>k_7ie</t>
  </si>
  <si>
    <t>V406.kinetic_reaction_system._te.k_7ie = x</t>
  </si>
  <si>
    <t>k_7ia</t>
  </si>
  <si>
    <t>V406.kinetic_reaction_system._te.k_7ia = x</t>
  </si>
  <si>
    <t>k_7ii</t>
  </si>
  <si>
    <t>V406.kinetic_reaction_system._te.k_7ii = x</t>
  </si>
  <si>
    <t>K_7</t>
  </si>
  <si>
    <t>V406.kinetic_reaction_system._te.K_7 = x</t>
  </si>
  <si>
    <t>k_8</t>
  </si>
  <si>
    <t>V406.kinetic_reaction_system._te.k_8 = x</t>
  </si>
  <si>
    <t>k_9</t>
  </si>
  <si>
    <t>V406.kinetic_reaction_system._te.k_9 = x</t>
  </si>
  <si>
    <t>K_9</t>
  </si>
  <si>
    <t>V406.kinetic_reaction_system._te.K_9 = x</t>
  </si>
  <si>
    <t>k_9e</t>
  </si>
  <si>
    <t>V406.kinetic_reaction_system._te.k_9e = x</t>
  </si>
  <si>
    <t>K_9e</t>
  </si>
  <si>
    <t>V406.kinetic_reaction_system._te.K_9e = x</t>
  </si>
  <si>
    <t>K_9i</t>
  </si>
  <si>
    <t>V406.kinetic_reaction_system._te.K_9i = x</t>
  </si>
  <si>
    <t>k_9c</t>
  </si>
  <si>
    <t>V406.kinetic_reaction_system._te.k_9c = x</t>
  </si>
  <si>
    <t>k_10</t>
  </si>
  <si>
    <t>V406.kinetic_reaction_system._te.k_10 = x</t>
  </si>
  <si>
    <t>k_11</t>
  </si>
  <si>
    <t>V406.kinetic_reaction_system._te.k_11 = x</t>
  </si>
  <si>
    <t>k_13</t>
  </si>
  <si>
    <t>V406.kinetic_reaction_system._te.k_13 = x</t>
  </si>
  <si>
    <t>K_13</t>
  </si>
  <si>
    <t>V406.kinetic_reaction_system._te.K_13 = x</t>
  </si>
  <si>
    <t>k_14</t>
  </si>
  <si>
    <t>V406.kinetic_reaction_system._te.k_14 = x</t>
  </si>
  <si>
    <t>K_14</t>
  </si>
  <si>
    <t>V406.kinetic_reaction_system._te.K_14 = x</t>
  </si>
  <si>
    <t>k_15</t>
  </si>
  <si>
    <t>V406.kinetic_reaction_system._te.k_15 = x</t>
  </si>
  <si>
    <t>K_15</t>
  </si>
  <si>
    <t>V406.kinetic_reaction_system._te.K_15 = x</t>
  </si>
  <si>
    <t>k_16</t>
  </si>
  <si>
    <t>V406.kinetic_reaction_system._te.k_16 = x</t>
  </si>
  <si>
    <t>k_16r</t>
  </si>
  <si>
    <t>V406.kinetic_reaction_system._te.k_16r = x</t>
  </si>
  <si>
    <t>K_16</t>
  </si>
  <si>
    <t>V406.kinetic_reaction_system._te.K_16 = x</t>
  </si>
  <si>
    <t>K_16i</t>
  </si>
  <si>
    <t>V406.kinetic_reaction_system._te.K_16i =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</si>
</sst>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  <xf numFmtId="0" fontId="0" fillId="0" borderId="0" xfId="0" applyFill="1"/>
    <xf numFmtId="1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abSelected="1" zoomScale="85" zoomScaleNormal="85" workbookViewId="0">
      <selection activeCell="K14" sqref="K14"/>
    </sheetView>
  </sheetViews>
  <sheetFormatPr defaultRowHeight="14.5" x14ac:dyDescent="0.35"/>
  <cols>
    <col min="1" max="1" width="40.81640625" customWidth="1"/>
    <col min="2" max="2" width="20.6328125" customWidth="1"/>
    <col min="4" max="4" width="12.1796875" customWidth="1"/>
    <col min="6" max="6" width="14.453125" customWidth="1"/>
    <col min="10" max="10" width="10.6328125" customWidth="1"/>
    <col min="11" max="11" width="19.08984375" customWidth="1"/>
  </cols>
  <sheetData>
    <row r="1" spans="1:11" s="1" customFormat="1" ht="22.25" customHeight="1" x14ac:dyDescent="0.35">
      <c r="A1" s="2" t="s">
        <v>0</v>
      </c>
      <c r="B1" s="2" t="s">
        <v>1</v>
      </c>
      <c r="C1" s="2" t="s">
        <v>20</v>
      </c>
      <c r="D1" s="2" t="s">
        <v>2</v>
      </c>
      <c r="E1" s="2" t="s">
        <v>23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27</v>
      </c>
      <c r="K1" s="2" t="s">
        <v>41</v>
      </c>
    </row>
    <row r="2" spans="1:11" s="6" customFormat="1" x14ac:dyDescent="0.35">
      <c r="A2" s="5" t="s">
        <v>18</v>
      </c>
      <c r="B2" s="5" t="s">
        <v>7</v>
      </c>
      <c r="C2" s="5" t="s">
        <v>21</v>
      </c>
      <c r="D2" s="5" t="s">
        <v>12</v>
      </c>
      <c r="E2" s="5">
        <v>1</v>
      </c>
      <c r="F2" s="5" t="s">
        <v>19</v>
      </c>
      <c r="G2" s="5">
        <v>0.9</v>
      </c>
      <c r="H2" s="5"/>
      <c r="I2" s="5">
        <v>1.1000000000000001</v>
      </c>
      <c r="J2" s="5"/>
      <c r="K2" s="5" t="s">
        <v>24</v>
      </c>
    </row>
    <row r="3" spans="1:11" s="6" customFormat="1" x14ac:dyDescent="0.35">
      <c r="A3" s="5" t="s">
        <v>30</v>
      </c>
      <c r="B3" s="5" t="s">
        <v>7</v>
      </c>
      <c r="C3" s="5" t="s">
        <v>21</v>
      </c>
      <c r="D3" s="5" t="s">
        <v>32</v>
      </c>
      <c r="E3" s="5">
        <v>330</v>
      </c>
      <c r="F3" s="5" t="s">
        <v>28</v>
      </c>
      <c r="G3" s="5">
        <f>0.9*E3</f>
        <v>297</v>
      </c>
      <c r="H3" s="5">
        <f>E3</f>
        <v>330</v>
      </c>
      <c r="I3" s="5">
        <f>1.1*E3</f>
        <v>363.00000000000006</v>
      </c>
      <c r="J3" s="5"/>
      <c r="K3" s="5" t="s">
        <v>31</v>
      </c>
    </row>
    <row r="4" spans="1:11" s="6" customFormat="1" x14ac:dyDescent="0.35">
      <c r="A4" s="5" t="s">
        <v>15</v>
      </c>
      <c r="B4" s="5" t="s">
        <v>7</v>
      </c>
      <c r="C4" s="5" t="s">
        <v>21</v>
      </c>
      <c r="D4" s="5" t="s">
        <v>9</v>
      </c>
      <c r="E4" s="5">
        <v>0.13900000000000001</v>
      </c>
      <c r="F4" s="5" t="s">
        <v>28</v>
      </c>
      <c r="G4" s="5">
        <v>0.127</v>
      </c>
      <c r="H4" s="5">
        <f>E4</f>
        <v>0.13900000000000001</v>
      </c>
      <c r="I4" s="5">
        <v>0.15</v>
      </c>
      <c r="J4" s="5"/>
      <c r="K4" s="5" t="s">
        <v>25</v>
      </c>
    </row>
    <row r="5" spans="1:11" s="6" customFormat="1" x14ac:dyDescent="0.35">
      <c r="A5" s="5" t="s">
        <v>16</v>
      </c>
      <c r="B5" s="5" t="s">
        <v>7</v>
      </c>
      <c r="C5" s="5" t="s">
        <v>21</v>
      </c>
      <c r="D5" s="5" t="s">
        <v>10</v>
      </c>
      <c r="E5" s="5">
        <v>0.27650000000000002</v>
      </c>
      <c r="F5" s="5" t="s">
        <v>28</v>
      </c>
      <c r="G5" s="5">
        <v>0.21629999999999999</v>
      </c>
      <c r="H5" s="5">
        <f>E5</f>
        <v>0.27650000000000002</v>
      </c>
      <c r="I5" s="5">
        <v>0.33210000000000001</v>
      </c>
      <c r="J5" s="5"/>
      <c r="K5" s="5" t="s">
        <v>29</v>
      </c>
    </row>
    <row r="6" spans="1:11" s="6" customFormat="1" x14ac:dyDescent="0.35">
      <c r="A6" s="5" t="s">
        <v>17</v>
      </c>
      <c r="B6" s="5" t="s">
        <v>7</v>
      </c>
      <c r="C6" s="5" t="s">
        <v>21</v>
      </c>
      <c r="D6" s="5" t="s">
        <v>11</v>
      </c>
      <c r="E6" s="5">
        <v>7.0000000000000007E-2</v>
      </c>
      <c r="F6" s="5" t="s">
        <v>28</v>
      </c>
      <c r="G6" s="5">
        <v>6.7000000000000004E-2</v>
      </c>
      <c r="H6" s="5">
        <f>E6</f>
        <v>7.0000000000000007E-2</v>
      </c>
      <c r="I6" s="5">
        <v>7.3999999999999996E-2</v>
      </c>
      <c r="J6" s="5"/>
      <c r="K6" s="5" t="s">
        <v>26</v>
      </c>
    </row>
    <row r="7" spans="1:11" x14ac:dyDescent="0.35">
      <c r="A7" s="4" t="s">
        <v>46</v>
      </c>
      <c r="B7" s="4" t="s">
        <v>7</v>
      </c>
      <c r="C7" s="4" t="s">
        <v>21</v>
      </c>
      <c r="D7" s="4" t="s">
        <v>10</v>
      </c>
      <c r="E7" s="4">
        <v>0.44900000000000001</v>
      </c>
      <c r="F7" s="4" t="s">
        <v>19</v>
      </c>
      <c r="G7" s="4">
        <f>E7*0.8</f>
        <v>0.35920000000000002</v>
      </c>
      <c r="H7" s="4"/>
      <c r="I7" s="4">
        <f>1.2*E7</f>
        <v>0.53879999999999995</v>
      </c>
      <c r="J7" s="4"/>
      <c r="K7" s="4" t="s">
        <v>47</v>
      </c>
    </row>
    <row r="8" spans="1:11" x14ac:dyDescent="0.35">
      <c r="A8" s="4" t="s">
        <v>49</v>
      </c>
      <c r="B8" s="4" t="s">
        <v>7</v>
      </c>
      <c r="C8" s="4" t="s">
        <v>21</v>
      </c>
      <c r="D8" s="4" t="s">
        <v>10</v>
      </c>
      <c r="E8" s="4">
        <v>1.86</v>
      </c>
      <c r="F8" s="4" t="s">
        <v>19</v>
      </c>
      <c r="G8" s="4">
        <f>E8*0.8</f>
        <v>1.4880000000000002</v>
      </c>
      <c r="H8" s="4"/>
      <c r="I8" s="4">
        <f>1.2*E8</f>
        <v>2.2320000000000002</v>
      </c>
      <c r="J8" s="4"/>
      <c r="K8" s="4" t="s">
        <v>48</v>
      </c>
    </row>
    <row r="9" spans="1:11" x14ac:dyDescent="0.35">
      <c r="A9" s="4" t="s">
        <v>50</v>
      </c>
      <c r="B9" s="4" t="s">
        <v>7</v>
      </c>
      <c r="C9" s="4" t="s">
        <v>21</v>
      </c>
      <c r="D9" s="4" t="s">
        <v>10</v>
      </c>
      <c r="E9" s="4">
        <v>2.25</v>
      </c>
      <c r="F9" s="4" t="s">
        <v>19</v>
      </c>
      <c r="G9" s="4">
        <f>E9*0.8</f>
        <v>1.8</v>
      </c>
      <c r="H9" s="4"/>
      <c r="I9" s="4">
        <f>1.2*E9</f>
        <v>2.6999999999999997</v>
      </c>
      <c r="J9" s="4"/>
      <c r="K9" s="4" t="s">
        <v>51</v>
      </c>
    </row>
    <row r="10" spans="1:11" x14ac:dyDescent="0.35">
      <c r="A10" s="4" t="s">
        <v>52</v>
      </c>
      <c r="B10" s="4" t="s">
        <v>7</v>
      </c>
      <c r="C10" s="4" t="s">
        <v>21</v>
      </c>
      <c r="D10" s="4" t="s">
        <v>10</v>
      </c>
      <c r="E10" s="4">
        <v>2.25</v>
      </c>
      <c r="F10" s="4" t="s">
        <v>19</v>
      </c>
      <c r="G10" s="4">
        <f>E10*0.8</f>
        <v>1.8</v>
      </c>
      <c r="H10" s="4"/>
      <c r="I10" s="4">
        <f>1.2*E10</f>
        <v>2.6999999999999997</v>
      </c>
      <c r="J10" s="4"/>
      <c r="K10" s="4" t="s">
        <v>53</v>
      </c>
    </row>
    <row r="11" spans="1:11" x14ac:dyDescent="0.35">
      <c r="A11" s="4" t="s">
        <v>54</v>
      </c>
      <c r="B11" s="4" t="s">
        <v>7</v>
      </c>
      <c r="C11" s="4" t="s">
        <v>21</v>
      </c>
      <c r="D11" s="4" t="s">
        <v>10</v>
      </c>
      <c r="E11" s="4">
        <v>0.436</v>
      </c>
      <c r="F11" s="4" t="s">
        <v>19</v>
      </c>
      <c r="G11" s="4">
        <f>E11*0.8</f>
        <v>0.3488</v>
      </c>
      <c r="H11" s="4"/>
      <c r="I11" s="4">
        <f>1.2*E11</f>
        <v>0.5232</v>
      </c>
      <c r="J11" s="4"/>
      <c r="K11" s="4" t="s">
        <v>55</v>
      </c>
    </row>
    <row r="12" spans="1:11" x14ac:dyDescent="0.35">
      <c r="A12" s="4" t="s">
        <v>56</v>
      </c>
      <c r="B12" s="4" t="s">
        <v>7</v>
      </c>
      <c r="C12" s="4" t="s">
        <v>21</v>
      </c>
      <c r="D12" s="4" t="s">
        <v>10</v>
      </c>
      <c r="E12" s="4">
        <v>1.2999999999999999E-2</v>
      </c>
      <c r="F12" s="4" t="s">
        <v>19</v>
      </c>
      <c r="G12" s="4">
        <f>E12*0.8</f>
        <v>1.04E-2</v>
      </c>
      <c r="H12" s="4"/>
      <c r="I12" s="4">
        <f>1.2*E12</f>
        <v>1.5599999999999999E-2</v>
      </c>
      <c r="J12" s="4"/>
      <c r="K12" s="4" t="s">
        <v>55</v>
      </c>
    </row>
    <row r="13" spans="1:11" x14ac:dyDescent="0.35">
      <c r="A13" s="3" t="s">
        <v>37</v>
      </c>
      <c r="B13" s="3" t="s">
        <v>7</v>
      </c>
      <c r="C13" s="3" t="s">
        <v>21</v>
      </c>
      <c r="D13" s="3" t="s">
        <v>10</v>
      </c>
      <c r="E13" s="3">
        <v>0.28599999999999998</v>
      </c>
      <c r="F13" s="3" t="s">
        <v>28</v>
      </c>
      <c r="G13" s="3">
        <v>0.17499999999999999</v>
      </c>
      <c r="H13" s="3">
        <v>0.28599999999999998</v>
      </c>
      <c r="I13" s="3">
        <v>0.315</v>
      </c>
      <c r="J13" s="3"/>
      <c r="K13" s="3" t="s">
        <v>39</v>
      </c>
    </row>
    <row r="14" spans="1:11" x14ac:dyDescent="0.35">
      <c r="A14" s="3" t="s">
        <v>38</v>
      </c>
      <c r="B14" s="3" t="s">
        <v>7</v>
      </c>
      <c r="C14" s="3" t="s">
        <v>21</v>
      </c>
      <c r="D14" s="3" t="s">
        <v>10</v>
      </c>
      <c r="E14" s="3">
        <v>0.10355</v>
      </c>
      <c r="F14" s="3" t="s">
        <v>28</v>
      </c>
      <c r="G14" s="3">
        <f>E14*0.9</f>
        <v>9.3195E-2</v>
      </c>
      <c r="H14" s="3">
        <f>E14</f>
        <v>0.10355</v>
      </c>
      <c r="I14" s="3">
        <f>E14*1.1</f>
        <v>0.11390500000000001</v>
      </c>
      <c r="J14" s="3"/>
      <c r="K14" s="3" t="s">
        <v>40</v>
      </c>
    </row>
    <row r="15" spans="1:11" x14ac:dyDescent="0.35">
      <c r="A15" s="3" t="s">
        <v>33</v>
      </c>
      <c r="B15" s="3" t="s">
        <v>7</v>
      </c>
      <c r="C15" s="3" t="s">
        <v>21</v>
      </c>
      <c r="D15" s="3" t="s">
        <v>8</v>
      </c>
      <c r="E15" s="3">
        <v>0.21</v>
      </c>
      <c r="F15" s="3" t="s">
        <v>19</v>
      </c>
      <c r="G15" s="3">
        <v>0.15</v>
      </c>
      <c r="H15" s="3"/>
      <c r="I15" s="3">
        <v>0.28000000000000003</v>
      </c>
      <c r="J15" s="3"/>
      <c r="K15" s="3" t="s">
        <v>36</v>
      </c>
    </row>
    <row r="16" spans="1:11" x14ac:dyDescent="0.35">
      <c r="A16" s="3" t="s">
        <v>34</v>
      </c>
      <c r="B16" s="3" t="s">
        <v>7</v>
      </c>
      <c r="C16" s="3" t="s">
        <v>21</v>
      </c>
      <c r="D16" s="3" t="s">
        <v>8</v>
      </c>
      <c r="E16" s="3">
        <v>0.15</v>
      </c>
      <c r="F16" s="3" t="s">
        <v>19</v>
      </c>
      <c r="G16" s="3">
        <f>0.8*E16</f>
        <v>0.12</v>
      </c>
      <c r="H16" s="3"/>
      <c r="I16" s="3">
        <f>1.2*E16</f>
        <v>0.18</v>
      </c>
      <c r="J16" s="3"/>
      <c r="K16" s="3" t="s">
        <v>35</v>
      </c>
    </row>
    <row r="17" spans="1:11" x14ac:dyDescent="0.35">
      <c r="A17" s="3" t="s">
        <v>42</v>
      </c>
      <c r="B17" s="3" t="s">
        <v>43</v>
      </c>
      <c r="C17" s="3" t="s">
        <v>22</v>
      </c>
      <c r="D17" s="3" t="s">
        <v>44</v>
      </c>
      <c r="E17" s="3">
        <v>56972</v>
      </c>
      <c r="F17" s="3" t="s">
        <v>28</v>
      </c>
      <c r="G17" s="3">
        <f>0.8*H17</f>
        <v>45577.600000000006</v>
      </c>
      <c r="H17" s="3">
        <f>E17</f>
        <v>56972</v>
      </c>
      <c r="I17" s="3">
        <f>1.2*H17</f>
        <v>68366.399999999994</v>
      </c>
      <c r="J17" s="3"/>
      <c r="K17" s="3" t="s">
        <v>45</v>
      </c>
    </row>
    <row r="18" spans="1:11" x14ac:dyDescent="0.35">
      <c r="A18" s="3" t="s">
        <v>57</v>
      </c>
      <c r="B18" s="3" t="s">
        <v>13</v>
      </c>
      <c r="C18" s="3" t="s">
        <v>22</v>
      </c>
      <c r="D18" s="3" t="s">
        <v>14</v>
      </c>
      <c r="E18" s="3">
        <v>156</v>
      </c>
      <c r="F18" s="3" t="s">
        <v>28</v>
      </c>
      <c r="G18" s="3">
        <f>E18*0.8</f>
        <v>124.80000000000001</v>
      </c>
      <c r="H18" s="3">
        <f>E18</f>
        <v>156</v>
      </c>
      <c r="I18" s="3">
        <f>E18*1.2</f>
        <v>187.2</v>
      </c>
      <c r="J18" s="3"/>
      <c r="K18" s="3" t="s">
        <v>59</v>
      </c>
    </row>
    <row r="19" spans="1:11" x14ac:dyDescent="0.35">
      <c r="A19" s="3" t="s">
        <v>58</v>
      </c>
      <c r="B19" s="3" t="s">
        <v>13</v>
      </c>
      <c r="C19" s="3" t="s">
        <v>22</v>
      </c>
      <c r="D19" s="3" t="s">
        <v>14</v>
      </c>
      <c r="E19" s="3">
        <v>156</v>
      </c>
      <c r="F19" s="3" t="s">
        <v>28</v>
      </c>
      <c r="G19" s="3">
        <f>E19*0.8</f>
        <v>124.80000000000001</v>
      </c>
      <c r="H19" s="3">
        <f>E19</f>
        <v>156</v>
      </c>
      <c r="I19" s="3">
        <f>E19*1.2</f>
        <v>187.2</v>
      </c>
      <c r="J19" s="3"/>
      <c r="K19" s="3" t="s">
        <v>60</v>
      </c>
    </row>
    <row r="20" spans="1:11" x14ac:dyDescent="0.35">
      <c r="A20" s="3" t="s">
        <v>74</v>
      </c>
      <c r="B20" s="3" t="s">
        <v>61</v>
      </c>
      <c r="C20" s="3" t="s">
        <v>22</v>
      </c>
      <c r="D20" s="3" t="s">
        <v>83</v>
      </c>
      <c r="E20" s="3">
        <v>1.43</v>
      </c>
      <c r="F20" s="3" t="s">
        <v>84</v>
      </c>
      <c r="G20" s="3">
        <v>1.1439999999999999</v>
      </c>
      <c r="H20" s="3">
        <v>1.43</v>
      </c>
      <c r="I20" s="3">
        <v>1.716</v>
      </c>
      <c r="J20" s="3"/>
      <c r="K20" s="3" t="s">
        <v>75</v>
      </c>
    </row>
    <row r="21" spans="1:11" x14ac:dyDescent="0.35">
      <c r="A21" s="3" t="s">
        <v>80</v>
      </c>
      <c r="B21" s="3" t="s">
        <v>61</v>
      </c>
      <c r="C21" s="3" t="s">
        <v>22</v>
      </c>
      <c r="D21" s="3" t="s">
        <v>85</v>
      </c>
      <c r="E21" s="3">
        <v>0.94</v>
      </c>
      <c r="F21" s="3" t="s">
        <v>84</v>
      </c>
      <c r="G21" s="3">
        <v>0.752</v>
      </c>
      <c r="H21" s="3">
        <v>0.94</v>
      </c>
      <c r="I21" s="3">
        <v>1.1279999999999999</v>
      </c>
      <c r="J21" s="3"/>
      <c r="K21" s="3" t="s">
        <v>81</v>
      </c>
    </row>
    <row r="22" spans="1:11" x14ac:dyDescent="0.35">
      <c r="A22" s="3" t="s">
        <v>66</v>
      </c>
      <c r="B22" s="3" t="s">
        <v>61</v>
      </c>
      <c r="C22" s="3" t="s">
        <v>22</v>
      </c>
      <c r="D22" s="3" t="s">
        <v>83</v>
      </c>
      <c r="E22" s="3">
        <v>0.58399999999999996</v>
      </c>
      <c r="F22" s="3" t="s">
        <v>84</v>
      </c>
      <c r="G22" s="3">
        <v>0.4672</v>
      </c>
      <c r="H22" s="3">
        <v>0.58399999999999996</v>
      </c>
      <c r="I22" s="3">
        <v>0.70079999999999998</v>
      </c>
      <c r="J22" s="3"/>
      <c r="K22" s="3" t="s">
        <v>67</v>
      </c>
    </row>
    <row r="23" spans="1:11" x14ac:dyDescent="0.35">
      <c r="A23" s="3" t="s">
        <v>82</v>
      </c>
      <c r="B23" s="3" t="s">
        <v>61</v>
      </c>
      <c r="C23" s="3" t="s">
        <v>22</v>
      </c>
      <c r="D23" s="3" t="s">
        <v>85</v>
      </c>
      <c r="E23" s="3">
        <v>1.1599999999999999E-2</v>
      </c>
      <c r="F23" s="3" t="s">
        <v>84</v>
      </c>
      <c r="G23" s="3">
        <v>9.2800000000000001E-3</v>
      </c>
      <c r="H23" s="3">
        <v>1.1599999999999999E-2</v>
      </c>
      <c r="I23" s="3">
        <v>1.3919999999999899E-2</v>
      </c>
      <c r="J23" s="3"/>
      <c r="K23" s="3" t="s">
        <v>86</v>
      </c>
    </row>
    <row r="24" spans="1:11" x14ac:dyDescent="0.35">
      <c r="A24" s="3" t="s">
        <v>64</v>
      </c>
      <c r="B24" s="3" t="s">
        <v>61</v>
      </c>
      <c r="C24" s="3" t="s">
        <v>22</v>
      </c>
      <c r="D24" s="3" t="s">
        <v>83</v>
      </c>
      <c r="E24" s="3">
        <v>47.1</v>
      </c>
      <c r="F24" s="3" t="s">
        <v>84</v>
      </c>
      <c r="G24" s="3">
        <v>37.68</v>
      </c>
      <c r="H24" s="3">
        <v>47.1</v>
      </c>
      <c r="I24" s="3">
        <v>56.52</v>
      </c>
      <c r="J24" s="3"/>
      <c r="K24" s="3" t="s">
        <v>65</v>
      </c>
    </row>
    <row r="25" spans="1:11" x14ac:dyDescent="0.35">
      <c r="A25" s="3" t="s">
        <v>87</v>
      </c>
      <c r="B25" s="3" t="s">
        <v>61</v>
      </c>
      <c r="C25" s="3" t="s">
        <v>22</v>
      </c>
      <c r="D25" s="3" t="s">
        <v>85</v>
      </c>
      <c r="E25" s="3">
        <v>14.2</v>
      </c>
      <c r="F25" s="3" t="s">
        <v>84</v>
      </c>
      <c r="G25" s="3">
        <v>11.36</v>
      </c>
      <c r="H25" s="3">
        <v>14.2</v>
      </c>
      <c r="I25" s="3">
        <v>17.04</v>
      </c>
      <c r="J25" s="3"/>
      <c r="K25" s="3" t="s">
        <v>88</v>
      </c>
    </row>
    <row r="26" spans="1:11" x14ac:dyDescent="0.35">
      <c r="A26" s="3" t="s">
        <v>89</v>
      </c>
      <c r="B26" s="3" t="s">
        <v>61</v>
      </c>
      <c r="C26" s="3" t="s">
        <v>22</v>
      </c>
      <c r="D26" s="3" t="s">
        <v>85</v>
      </c>
      <c r="E26" s="3">
        <v>0.12</v>
      </c>
      <c r="F26" s="3" t="s">
        <v>84</v>
      </c>
      <c r="G26" s="3">
        <v>9.6000000000000002E-2</v>
      </c>
      <c r="H26" s="3">
        <v>0.12</v>
      </c>
      <c r="I26" s="3">
        <v>0.14399999999999999</v>
      </c>
      <c r="J26" s="3"/>
      <c r="K26" s="3" t="s">
        <v>90</v>
      </c>
    </row>
    <row r="27" spans="1:11" x14ac:dyDescent="0.35">
      <c r="A27" s="3" t="s">
        <v>68</v>
      </c>
      <c r="B27" s="3" t="s">
        <v>61</v>
      </c>
      <c r="C27" s="3" t="s">
        <v>22</v>
      </c>
      <c r="D27" s="3" t="s">
        <v>83</v>
      </c>
      <c r="E27" s="3">
        <v>0.04</v>
      </c>
      <c r="F27" s="3" t="s">
        <v>84</v>
      </c>
      <c r="G27" s="3">
        <v>3.2000000000000001E-2</v>
      </c>
      <c r="H27" s="3">
        <v>0.04</v>
      </c>
      <c r="I27" s="3">
        <v>4.8000000000000001E-2</v>
      </c>
      <c r="J27" s="3"/>
      <c r="K27" s="3" t="s">
        <v>69</v>
      </c>
    </row>
    <row r="28" spans="1:11" x14ac:dyDescent="0.35">
      <c r="A28" s="3" t="s">
        <v>70</v>
      </c>
      <c r="B28" s="3" t="s">
        <v>61</v>
      </c>
      <c r="C28" s="3" t="s">
        <v>22</v>
      </c>
      <c r="D28" s="3" t="s">
        <v>83</v>
      </c>
      <c r="E28" s="3">
        <v>0.12</v>
      </c>
      <c r="F28" s="3" t="s">
        <v>84</v>
      </c>
      <c r="G28" s="3">
        <v>9.6000000000000002E-2</v>
      </c>
      <c r="H28" s="3">
        <v>0.12</v>
      </c>
      <c r="I28" s="3">
        <v>0.14399999999999999</v>
      </c>
      <c r="J28" s="3"/>
      <c r="K28" s="3" t="s">
        <v>71</v>
      </c>
    </row>
    <row r="29" spans="1:11" x14ac:dyDescent="0.35">
      <c r="A29" s="3" t="s">
        <v>72</v>
      </c>
      <c r="B29" s="3" t="s">
        <v>61</v>
      </c>
      <c r="C29" s="3" t="s">
        <v>22</v>
      </c>
      <c r="D29" s="3" t="s">
        <v>83</v>
      </c>
      <c r="E29" s="3">
        <v>0.04</v>
      </c>
      <c r="F29" s="3" t="s">
        <v>84</v>
      </c>
      <c r="G29" s="3">
        <v>3.2000000000000001E-2</v>
      </c>
      <c r="H29" s="3">
        <v>0.04</v>
      </c>
      <c r="I29" s="3">
        <v>4.8000000000000001E-2</v>
      </c>
      <c r="J29" s="3"/>
      <c r="K29" s="3" t="s">
        <v>73</v>
      </c>
    </row>
    <row r="30" spans="1:11" x14ac:dyDescent="0.35">
      <c r="A30" s="3" t="s">
        <v>62</v>
      </c>
      <c r="B30" s="3" t="s">
        <v>61</v>
      </c>
      <c r="C30" s="3" t="s">
        <v>22</v>
      </c>
      <c r="D30" s="3" t="s">
        <v>83</v>
      </c>
      <c r="E30" s="3">
        <v>0.501</v>
      </c>
      <c r="F30" s="3" t="s">
        <v>84</v>
      </c>
      <c r="G30" s="3">
        <v>0.40079999999999999</v>
      </c>
      <c r="H30" s="3">
        <v>0.501</v>
      </c>
      <c r="I30" s="3">
        <v>0.60119999999999996</v>
      </c>
      <c r="J30" s="3"/>
      <c r="K30" s="3" t="s">
        <v>63</v>
      </c>
    </row>
    <row r="31" spans="1:11" x14ac:dyDescent="0.35">
      <c r="A31" s="3" t="s">
        <v>91</v>
      </c>
      <c r="B31" s="3" t="s">
        <v>61</v>
      </c>
      <c r="C31" s="3" t="s">
        <v>22</v>
      </c>
      <c r="D31" s="3" t="s">
        <v>85</v>
      </c>
      <c r="E31" s="7">
        <v>2.0000000000000002E-5</v>
      </c>
      <c r="F31" s="3" t="s">
        <v>84</v>
      </c>
      <c r="G31" s="7">
        <v>1.5999999999999999E-5</v>
      </c>
      <c r="H31" s="7">
        <v>2.0000000000000002E-5</v>
      </c>
      <c r="I31" s="7">
        <v>2.4000000000000001E-5</v>
      </c>
      <c r="J31" s="3"/>
      <c r="K31" s="3" t="s">
        <v>92</v>
      </c>
    </row>
    <row r="32" spans="1:11" x14ac:dyDescent="0.35">
      <c r="A32" s="3" t="s">
        <v>93</v>
      </c>
      <c r="B32" s="3" t="s">
        <v>61</v>
      </c>
      <c r="C32" s="3" t="s">
        <v>22</v>
      </c>
      <c r="D32" s="3" t="s">
        <v>85</v>
      </c>
      <c r="E32" s="3">
        <v>0.10100000000000001</v>
      </c>
      <c r="F32" s="3" t="s">
        <v>84</v>
      </c>
      <c r="G32" s="3">
        <v>8.0799999999999997E-2</v>
      </c>
      <c r="H32" s="3">
        <v>0.10100000000000001</v>
      </c>
      <c r="I32" s="3">
        <v>0.1212</v>
      </c>
      <c r="J32" s="3"/>
      <c r="K32" s="3" t="s">
        <v>94</v>
      </c>
    </row>
    <row r="33" spans="1:11" x14ac:dyDescent="0.35">
      <c r="A33" s="3" t="s">
        <v>76</v>
      </c>
      <c r="B33" s="3" t="s">
        <v>61</v>
      </c>
      <c r="C33" s="3" t="s">
        <v>22</v>
      </c>
      <c r="D33" s="3" t="s">
        <v>83</v>
      </c>
      <c r="E33" s="3">
        <v>5.81</v>
      </c>
      <c r="F33" s="3" t="s">
        <v>84</v>
      </c>
      <c r="G33" s="3">
        <v>4.6479999999999997</v>
      </c>
      <c r="H33" s="3">
        <v>5.81</v>
      </c>
      <c r="I33" s="3">
        <v>6.9719999999999898</v>
      </c>
      <c r="J33" s="3"/>
      <c r="K33" s="3" t="s">
        <v>77</v>
      </c>
    </row>
    <row r="34" spans="1:11" x14ac:dyDescent="0.35">
      <c r="A34" s="3" t="s">
        <v>95</v>
      </c>
      <c r="B34" s="3" t="s">
        <v>61</v>
      </c>
      <c r="C34" s="3" t="s">
        <v>22</v>
      </c>
      <c r="D34" s="3" t="s">
        <v>85</v>
      </c>
      <c r="E34" s="7">
        <v>4.9999999999999998E-7</v>
      </c>
      <c r="F34" s="3" t="s">
        <v>84</v>
      </c>
      <c r="G34" s="7">
        <v>3.9999999999999998E-7</v>
      </c>
      <c r="H34" s="7">
        <v>4.9999999999999998E-7</v>
      </c>
      <c r="I34" s="7">
        <v>5.9999999999999997E-7</v>
      </c>
      <c r="J34" s="3"/>
      <c r="K34" s="3" t="s">
        <v>96</v>
      </c>
    </row>
    <row r="35" spans="1:11" x14ac:dyDescent="0.35">
      <c r="A35" s="3" t="s">
        <v>78</v>
      </c>
      <c r="B35" s="3" t="s">
        <v>61</v>
      </c>
      <c r="C35" s="3" t="s">
        <v>22</v>
      </c>
      <c r="D35" s="3" t="s">
        <v>83</v>
      </c>
      <c r="E35" s="3">
        <v>4.8</v>
      </c>
      <c r="F35" s="3" t="s">
        <v>84</v>
      </c>
      <c r="G35" s="3">
        <v>3.84</v>
      </c>
      <c r="H35" s="3">
        <v>4.8</v>
      </c>
      <c r="I35" s="3">
        <v>5.76</v>
      </c>
      <c r="J35" s="3"/>
      <c r="K35" s="3" t="s">
        <v>79</v>
      </c>
    </row>
    <row r="36" spans="1:11" x14ac:dyDescent="0.35">
      <c r="A36" s="3" t="s">
        <v>97</v>
      </c>
      <c r="B36" s="3" t="s">
        <v>61</v>
      </c>
      <c r="C36" s="3" t="s">
        <v>22</v>
      </c>
      <c r="D36" s="3" t="s">
        <v>83</v>
      </c>
      <c r="E36" s="3">
        <v>0.04</v>
      </c>
      <c r="F36" s="3" t="s">
        <v>84</v>
      </c>
      <c r="G36" s="3">
        <v>3.2000000000000001E-2</v>
      </c>
      <c r="H36" s="3">
        <v>0.04</v>
      </c>
      <c r="I36" s="3">
        <v>4.8000000000000001E-2</v>
      </c>
      <c r="J36" s="3"/>
      <c r="K36" s="3" t="s">
        <v>98</v>
      </c>
    </row>
    <row r="37" spans="1:11" x14ac:dyDescent="0.35">
      <c r="A37" s="3" t="s">
        <v>99</v>
      </c>
      <c r="B37" s="3" t="s">
        <v>61</v>
      </c>
      <c r="C37" s="3" t="s">
        <v>22</v>
      </c>
      <c r="D37" s="3" t="s">
        <v>83</v>
      </c>
      <c r="E37" s="3">
        <v>0.12</v>
      </c>
      <c r="F37" s="3" t="s">
        <v>84</v>
      </c>
      <c r="G37" s="3">
        <v>9.6000000000000002E-2</v>
      </c>
      <c r="H37" s="3">
        <v>0.12</v>
      </c>
      <c r="I37" s="3">
        <v>0.14399999999999999</v>
      </c>
      <c r="J37" s="3"/>
      <c r="K37" s="3" t="s">
        <v>100</v>
      </c>
    </row>
    <row r="38" spans="1:11" x14ac:dyDescent="0.35">
      <c r="A38" s="3" t="s">
        <v>101</v>
      </c>
      <c r="B38" s="3" t="s">
        <v>61</v>
      </c>
      <c r="C38" s="3" t="s">
        <v>22</v>
      </c>
      <c r="D38" s="3" t="s">
        <v>83</v>
      </c>
      <c r="E38" s="3">
        <v>0.04</v>
      </c>
      <c r="F38" s="3" t="s">
        <v>84</v>
      </c>
      <c r="G38" s="3">
        <v>3.2000000000000001E-2</v>
      </c>
      <c r="H38" s="3">
        <v>0.04</v>
      </c>
      <c r="I38" s="3">
        <v>4.8000000000000001E-2</v>
      </c>
      <c r="J38" s="3"/>
      <c r="K38" s="3" t="s">
        <v>102</v>
      </c>
    </row>
    <row r="39" spans="1:11" x14ac:dyDescent="0.35">
      <c r="A39" s="3" t="s">
        <v>103</v>
      </c>
      <c r="B39" s="3" t="s">
        <v>61</v>
      </c>
      <c r="C39" s="3" t="s">
        <v>22</v>
      </c>
      <c r="D39" s="3" t="s">
        <v>85</v>
      </c>
      <c r="E39" s="3">
        <v>2.6400000000000002E-4</v>
      </c>
      <c r="F39" s="3" t="s">
        <v>84</v>
      </c>
      <c r="G39" s="3">
        <v>2.1120000000000001E-4</v>
      </c>
      <c r="H39" s="3">
        <v>2.6400000000000002E-4</v>
      </c>
      <c r="I39" s="3">
        <v>3.168E-4</v>
      </c>
      <c r="J39" s="3"/>
      <c r="K39" s="3" t="s">
        <v>104</v>
      </c>
    </row>
    <row r="40" spans="1:11" x14ac:dyDescent="0.35">
      <c r="A40" s="3" t="s">
        <v>105</v>
      </c>
      <c r="B40" s="3" t="s">
        <v>61</v>
      </c>
      <c r="C40" s="3" t="s">
        <v>22</v>
      </c>
      <c r="D40" s="3" t="s">
        <v>83</v>
      </c>
      <c r="E40" s="3">
        <v>1.04E-2</v>
      </c>
      <c r="F40" s="3" t="s">
        <v>84</v>
      </c>
      <c r="G40" s="3">
        <v>8.3199999999999993E-3</v>
      </c>
      <c r="H40" s="3">
        <v>1.04E-2</v>
      </c>
      <c r="I40" s="3">
        <v>1.248E-2</v>
      </c>
      <c r="J40" s="3"/>
      <c r="K40" s="3" t="s">
        <v>106</v>
      </c>
    </row>
    <row r="41" spans="1:11" x14ac:dyDescent="0.35">
      <c r="A41" s="3" t="s">
        <v>107</v>
      </c>
      <c r="B41" s="3" t="s">
        <v>61</v>
      </c>
      <c r="C41" s="3" t="s">
        <v>22</v>
      </c>
      <c r="D41" s="3" t="s">
        <v>85</v>
      </c>
      <c r="E41" s="3">
        <v>1.0200000000000001E-2</v>
      </c>
      <c r="F41" s="3" t="s">
        <v>84</v>
      </c>
      <c r="G41" s="3">
        <v>8.1600000000000006E-3</v>
      </c>
      <c r="H41" s="3">
        <v>1.0200000000000001E-2</v>
      </c>
      <c r="I41" s="3">
        <v>1.2239999999999999E-2</v>
      </c>
      <c r="J41" s="3"/>
      <c r="K41" s="3" t="s">
        <v>108</v>
      </c>
    </row>
    <row r="42" spans="1:11" x14ac:dyDescent="0.35">
      <c r="A42" s="3" t="s">
        <v>109</v>
      </c>
      <c r="B42" s="3" t="s">
        <v>61</v>
      </c>
      <c r="C42" s="3" t="s">
        <v>22</v>
      </c>
      <c r="D42" s="3" t="s">
        <v>83</v>
      </c>
      <c r="E42" s="3">
        <v>0.77500000000000002</v>
      </c>
      <c r="F42" s="3" t="s">
        <v>84</v>
      </c>
      <c r="G42" s="3">
        <v>0.62</v>
      </c>
      <c r="H42" s="3">
        <v>0.77500000000000002</v>
      </c>
      <c r="I42" s="3">
        <v>0.92999999999999905</v>
      </c>
      <c r="J42" s="3"/>
      <c r="K42" s="3" t="s">
        <v>110</v>
      </c>
    </row>
    <row r="43" spans="1:11" x14ac:dyDescent="0.35">
      <c r="A43" s="3" t="s">
        <v>111</v>
      </c>
      <c r="B43" s="3" t="s">
        <v>61</v>
      </c>
      <c r="C43" s="3" t="s">
        <v>22</v>
      </c>
      <c r="D43" s="3" t="s">
        <v>85</v>
      </c>
      <c r="E43" s="3">
        <v>0.1</v>
      </c>
      <c r="F43" s="3" t="s">
        <v>84</v>
      </c>
      <c r="G43" s="3">
        <v>0.08</v>
      </c>
      <c r="H43" s="3">
        <v>0.1</v>
      </c>
      <c r="I43" s="3">
        <v>0.12</v>
      </c>
      <c r="J43" s="3"/>
      <c r="K43" s="3" t="s">
        <v>112</v>
      </c>
    </row>
    <row r="44" spans="1:11" x14ac:dyDescent="0.35">
      <c r="A44" s="3" t="s">
        <v>113</v>
      </c>
      <c r="B44" s="3" t="s">
        <v>61</v>
      </c>
      <c r="C44" s="3" t="s">
        <v>22</v>
      </c>
      <c r="D44" s="3" t="s">
        <v>85</v>
      </c>
      <c r="E44" s="3">
        <v>440</v>
      </c>
      <c r="F44" s="3" t="s">
        <v>84</v>
      </c>
      <c r="G44" s="3">
        <v>352</v>
      </c>
      <c r="H44" s="3">
        <v>440</v>
      </c>
      <c r="I44" s="3">
        <v>528</v>
      </c>
      <c r="J44" s="3"/>
      <c r="K44" s="3" t="s">
        <v>114</v>
      </c>
    </row>
    <row r="45" spans="1:11" x14ac:dyDescent="0.35">
      <c r="A45" s="3" t="s">
        <v>115</v>
      </c>
      <c r="B45" s="3" t="s">
        <v>61</v>
      </c>
      <c r="C45" s="3" t="s">
        <v>22</v>
      </c>
      <c r="D45" s="3" t="s">
        <v>83</v>
      </c>
      <c r="E45" s="3">
        <v>2.82</v>
      </c>
      <c r="F45" s="3" t="s">
        <v>84</v>
      </c>
      <c r="G45" s="3">
        <v>2.2559999999999998</v>
      </c>
      <c r="H45" s="3">
        <v>2.82</v>
      </c>
      <c r="I45" s="3">
        <v>3.3839999999999999</v>
      </c>
      <c r="J45" s="3"/>
      <c r="K45" s="3" t="s">
        <v>116</v>
      </c>
    </row>
    <row r="46" spans="1:11" x14ac:dyDescent="0.35">
      <c r="A46" s="3" t="s">
        <v>117</v>
      </c>
      <c r="B46" s="3" t="s">
        <v>61</v>
      </c>
      <c r="C46" s="3" t="s">
        <v>22</v>
      </c>
      <c r="D46" s="3" t="s">
        <v>83</v>
      </c>
      <c r="E46" s="3">
        <v>1.2500000000000001E-2</v>
      </c>
      <c r="F46" s="3" t="s">
        <v>84</v>
      </c>
      <c r="G46" s="3">
        <v>0.01</v>
      </c>
      <c r="H46" s="3">
        <v>1.2500000000000001E-2</v>
      </c>
      <c r="I46" s="3">
        <v>1.4999999999999999E-2</v>
      </c>
      <c r="J46" s="3"/>
      <c r="K46" s="3" t="s">
        <v>118</v>
      </c>
    </row>
    <row r="47" spans="1:11" x14ac:dyDescent="0.35">
      <c r="A47" s="3" t="s">
        <v>119</v>
      </c>
      <c r="B47" s="3" t="s">
        <v>61</v>
      </c>
      <c r="C47" s="3" t="s">
        <v>22</v>
      </c>
      <c r="D47" s="3" t="s">
        <v>85</v>
      </c>
      <c r="E47" s="3">
        <v>3.4000000000000002E-2</v>
      </c>
      <c r="F47" s="3" t="s">
        <v>84</v>
      </c>
      <c r="G47" s="3">
        <v>2.7199999999999998E-2</v>
      </c>
      <c r="H47" s="3">
        <v>3.4000000000000002E-2</v>
      </c>
      <c r="I47" s="3">
        <v>4.0800000000000003E-2</v>
      </c>
      <c r="J47" s="3"/>
      <c r="K47" s="3" t="s">
        <v>120</v>
      </c>
    </row>
    <row r="48" spans="1:11" x14ac:dyDescent="0.35">
      <c r="A48" s="3" t="s">
        <v>121</v>
      </c>
      <c r="B48" s="3" t="s">
        <v>61</v>
      </c>
      <c r="C48" s="3" t="s">
        <v>22</v>
      </c>
      <c r="D48" s="3" t="s">
        <v>85</v>
      </c>
      <c r="E48" s="3">
        <v>5.7000000000000002E-2</v>
      </c>
      <c r="F48" s="3" t="s">
        <v>84</v>
      </c>
      <c r="G48" s="3">
        <v>4.5600000000000002E-2</v>
      </c>
      <c r="H48" s="3">
        <v>5.7000000000000002E-2</v>
      </c>
      <c r="I48" s="3">
        <v>6.8400000000000002E-2</v>
      </c>
      <c r="J48" s="3"/>
      <c r="K48" s="3" t="s">
        <v>122</v>
      </c>
    </row>
    <row r="49" spans="1:11" x14ac:dyDescent="0.35">
      <c r="A49" s="3" t="s">
        <v>123</v>
      </c>
      <c r="B49" s="3" t="s">
        <v>61</v>
      </c>
      <c r="C49" s="3" t="s">
        <v>22</v>
      </c>
      <c r="D49" s="3" t="s">
        <v>83</v>
      </c>
      <c r="E49" s="3">
        <v>1.2030000000000001</v>
      </c>
      <c r="F49" s="3" t="s">
        <v>84</v>
      </c>
      <c r="G49" s="3">
        <v>0.96240000000000003</v>
      </c>
      <c r="H49" s="3">
        <v>1.2030000000000001</v>
      </c>
      <c r="I49" s="3">
        <v>1.4436</v>
      </c>
      <c r="J49" s="3"/>
      <c r="K49" s="3" t="s">
        <v>124</v>
      </c>
    </row>
    <row r="50" spans="1:11" x14ac:dyDescent="0.35">
      <c r="A50" s="3" t="s">
        <v>125</v>
      </c>
      <c r="B50" s="3" t="s">
        <v>61</v>
      </c>
      <c r="C50" s="3" t="s">
        <v>22</v>
      </c>
      <c r="D50" s="3" t="s">
        <v>83</v>
      </c>
      <c r="E50" s="3">
        <v>0.04</v>
      </c>
      <c r="F50" s="3" t="s">
        <v>84</v>
      </c>
      <c r="G50" s="3">
        <v>3.2000000000000001E-2</v>
      </c>
      <c r="H50" s="3">
        <v>0.04</v>
      </c>
      <c r="I50" s="3">
        <v>4.8000000000000001E-2</v>
      </c>
      <c r="J50" s="3"/>
      <c r="K50" s="3" t="s">
        <v>126</v>
      </c>
    </row>
    <row r="51" spans="1:11" x14ac:dyDescent="0.35">
      <c r="A51" s="3" t="s">
        <v>127</v>
      </c>
      <c r="B51" s="3" t="s">
        <v>61</v>
      </c>
      <c r="C51" s="3" t="s">
        <v>22</v>
      </c>
      <c r="D51" s="3" t="s">
        <v>83</v>
      </c>
      <c r="E51" s="3">
        <v>0.12</v>
      </c>
      <c r="F51" s="3" t="s">
        <v>84</v>
      </c>
      <c r="G51" s="3">
        <v>9.6000000000000002E-2</v>
      </c>
      <c r="H51" s="3">
        <v>0.12</v>
      </c>
      <c r="I51" s="3">
        <v>0.14399999999999999</v>
      </c>
      <c r="J51" s="3"/>
      <c r="K51" s="3" t="s">
        <v>128</v>
      </c>
    </row>
    <row r="52" spans="1:11" x14ac:dyDescent="0.35">
      <c r="A52" s="3" t="s">
        <v>129</v>
      </c>
      <c r="B52" s="3" t="s">
        <v>61</v>
      </c>
      <c r="C52" s="3" t="s">
        <v>22</v>
      </c>
      <c r="D52" s="3" t="s">
        <v>83</v>
      </c>
      <c r="E52" s="3">
        <v>0.04</v>
      </c>
      <c r="F52" s="3" t="s">
        <v>84</v>
      </c>
      <c r="G52" s="3">
        <v>3.2000000000000001E-2</v>
      </c>
      <c r="H52" s="3">
        <v>0.04</v>
      </c>
      <c r="I52" s="3">
        <v>4.8000000000000001E-2</v>
      </c>
      <c r="J52" s="3"/>
      <c r="K52" s="3" t="s">
        <v>130</v>
      </c>
    </row>
    <row r="53" spans="1:11" x14ac:dyDescent="0.35">
      <c r="A53" s="3" t="s">
        <v>131</v>
      </c>
      <c r="B53" s="3" t="s">
        <v>61</v>
      </c>
      <c r="C53" s="3" t="s">
        <v>22</v>
      </c>
      <c r="D53" s="3" t="s">
        <v>85</v>
      </c>
      <c r="E53" s="3">
        <v>1.01E-2</v>
      </c>
      <c r="F53" s="3" t="s">
        <v>84</v>
      </c>
      <c r="G53" s="3">
        <v>8.0800000000000004E-3</v>
      </c>
      <c r="H53" s="3">
        <v>1.01E-2</v>
      </c>
      <c r="I53" s="3">
        <v>1.21199999999999E-2</v>
      </c>
      <c r="J53" s="3"/>
      <c r="K53" s="3" t="s">
        <v>132</v>
      </c>
    </row>
    <row r="54" spans="1:11" x14ac:dyDescent="0.35">
      <c r="A54" s="3" t="s">
        <v>133</v>
      </c>
      <c r="B54" s="3" t="s">
        <v>61</v>
      </c>
      <c r="C54" s="3" t="s">
        <v>22</v>
      </c>
      <c r="D54" s="3" t="s">
        <v>83</v>
      </c>
      <c r="E54" s="3">
        <v>0.58899999999999997</v>
      </c>
      <c r="F54" s="3" t="s">
        <v>84</v>
      </c>
      <c r="G54" s="3">
        <v>0.47120000000000001</v>
      </c>
      <c r="H54" s="3">
        <v>0.58899999999999997</v>
      </c>
      <c r="I54" s="3">
        <v>0.70679999999999998</v>
      </c>
      <c r="J54" s="3"/>
      <c r="K54" s="3" t="s">
        <v>134</v>
      </c>
    </row>
    <row r="55" spans="1:11" x14ac:dyDescent="0.35">
      <c r="A55" s="3" t="s">
        <v>135</v>
      </c>
      <c r="B55" s="3" t="s">
        <v>61</v>
      </c>
      <c r="C55" s="3" t="s">
        <v>22</v>
      </c>
      <c r="D55" s="3" t="s">
        <v>83</v>
      </c>
      <c r="E55" s="3">
        <v>8.0000000000000002E-3</v>
      </c>
      <c r="F55" s="3" t="s">
        <v>84</v>
      </c>
      <c r="G55" s="3">
        <v>6.4000000000000003E-3</v>
      </c>
      <c r="H55" s="3">
        <v>8.0000000000000002E-3</v>
      </c>
      <c r="I55" s="3">
        <v>9.5999999999999992E-3</v>
      </c>
      <c r="J55" s="3"/>
      <c r="K55" s="3" t="s">
        <v>136</v>
      </c>
    </row>
    <row r="56" spans="1:11" x14ac:dyDescent="0.35">
      <c r="A56" s="3" t="s">
        <v>137</v>
      </c>
      <c r="B56" s="3" t="s">
        <v>61</v>
      </c>
      <c r="C56" s="3" t="s">
        <v>22</v>
      </c>
      <c r="D56" s="3" t="s">
        <v>85</v>
      </c>
      <c r="E56" s="7">
        <v>9.9999999999999995E-7</v>
      </c>
      <c r="F56" s="3" t="s">
        <v>84</v>
      </c>
      <c r="G56" s="7">
        <v>7.9999999999999996E-7</v>
      </c>
      <c r="H56" s="7">
        <v>9.9999999999999995E-7</v>
      </c>
      <c r="I56" s="7">
        <v>1.1999999999999999E-6</v>
      </c>
      <c r="J56" s="3"/>
      <c r="K56" s="3" t="s">
        <v>138</v>
      </c>
    </row>
    <row r="57" spans="1:11" x14ac:dyDescent="0.35">
      <c r="A57" s="3" t="s">
        <v>139</v>
      </c>
      <c r="B57" s="3" t="s">
        <v>61</v>
      </c>
      <c r="C57" s="3" t="s">
        <v>22</v>
      </c>
      <c r="D57" s="3" t="s">
        <v>83</v>
      </c>
      <c r="E57" s="3">
        <v>7.51E-2</v>
      </c>
      <c r="F57" s="3" t="s">
        <v>84</v>
      </c>
      <c r="G57" s="3">
        <v>6.0080000000000001E-2</v>
      </c>
      <c r="H57" s="3">
        <v>7.51E-2</v>
      </c>
      <c r="I57" s="3">
        <v>9.0119999999999895E-2</v>
      </c>
      <c r="J57" s="3"/>
      <c r="K57" s="3" t="s">
        <v>140</v>
      </c>
    </row>
    <row r="58" spans="1:11" x14ac:dyDescent="0.35">
      <c r="A58" s="3" t="s">
        <v>141</v>
      </c>
      <c r="B58" s="3" t="s">
        <v>61</v>
      </c>
      <c r="C58" s="3" t="s">
        <v>22</v>
      </c>
      <c r="D58" s="3" t="s">
        <v>85</v>
      </c>
      <c r="E58" s="3">
        <v>13</v>
      </c>
      <c r="F58" s="3" t="s">
        <v>84</v>
      </c>
      <c r="G58" s="3">
        <v>10.4</v>
      </c>
      <c r="H58" s="3">
        <v>13</v>
      </c>
      <c r="I58" s="3">
        <v>15.6</v>
      </c>
      <c r="J58" s="3"/>
      <c r="K58" s="3" t="s">
        <v>142</v>
      </c>
    </row>
    <row r="59" spans="1:11" x14ac:dyDescent="0.35">
      <c r="A59" s="3" t="s">
        <v>143</v>
      </c>
      <c r="B59" s="3" t="s">
        <v>61</v>
      </c>
      <c r="C59" s="3" t="s">
        <v>22</v>
      </c>
      <c r="D59" s="3" t="s">
        <v>85</v>
      </c>
      <c r="E59" s="3">
        <v>25</v>
      </c>
      <c r="F59" s="3" t="s">
        <v>84</v>
      </c>
      <c r="G59" s="3">
        <v>20</v>
      </c>
      <c r="H59" s="3">
        <v>25</v>
      </c>
      <c r="I59" s="3">
        <v>30</v>
      </c>
      <c r="J59" s="3"/>
      <c r="K59" s="3" t="s">
        <v>144</v>
      </c>
    </row>
    <row r="60" spans="1:11" x14ac:dyDescent="0.35">
      <c r="A60" s="3" t="s">
        <v>145</v>
      </c>
      <c r="B60" s="3" t="s">
        <v>61</v>
      </c>
      <c r="C60" s="3" t="s">
        <v>22</v>
      </c>
      <c r="D60" s="3" t="s">
        <v>83</v>
      </c>
      <c r="E60" s="3">
        <v>3.9899999999999996E-3</v>
      </c>
      <c r="F60" s="3" t="s">
        <v>84</v>
      </c>
      <c r="G60" s="3">
        <v>3.192E-3</v>
      </c>
      <c r="H60" s="3">
        <v>3.9899999999999996E-3</v>
      </c>
      <c r="I60" s="3">
        <v>4.7879999999999997E-3</v>
      </c>
      <c r="J60" s="3"/>
      <c r="K60" s="3" t="s">
        <v>146</v>
      </c>
    </row>
    <row r="61" spans="1:11" x14ac:dyDescent="0.35">
      <c r="A61" s="3" t="s">
        <v>147</v>
      </c>
      <c r="B61" s="3" t="s">
        <v>61</v>
      </c>
      <c r="C61" s="3" t="s">
        <v>22</v>
      </c>
      <c r="D61" s="3" t="s">
        <v>83</v>
      </c>
      <c r="E61" s="3">
        <v>0.06</v>
      </c>
      <c r="F61" s="3" t="s">
        <v>84</v>
      </c>
      <c r="G61" s="3">
        <v>4.8000000000000001E-2</v>
      </c>
      <c r="H61" s="3">
        <v>0.06</v>
      </c>
      <c r="I61" s="3">
        <v>7.1999999999999995E-2</v>
      </c>
      <c r="J61" s="3"/>
      <c r="K61" s="3" t="s">
        <v>148</v>
      </c>
    </row>
    <row r="62" spans="1:11" x14ac:dyDescent="0.35">
      <c r="A62" s="3" t="s">
        <v>149</v>
      </c>
      <c r="B62" s="3" t="s">
        <v>61</v>
      </c>
      <c r="C62" s="3" t="s">
        <v>22</v>
      </c>
      <c r="D62" s="3" t="s">
        <v>83</v>
      </c>
      <c r="E62" s="3">
        <v>0.02</v>
      </c>
      <c r="F62" s="3" t="s">
        <v>84</v>
      </c>
      <c r="G62" s="3">
        <v>1.6E-2</v>
      </c>
      <c r="H62" s="3">
        <v>0.02</v>
      </c>
      <c r="I62" s="3">
        <v>2.4E-2</v>
      </c>
      <c r="J62" s="3"/>
      <c r="K62" s="3" t="s">
        <v>150</v>
      </c>
    </row>
    <row r="63" spans="1:11" x14ac:dyDescent="0.35">
      <c r="A63" s="3" t="s">
        <v>151</v>
      </c>
      <c r="B63" s="3" t="s">
        <v>61</v>
      </c>
      <c r="C63" s="3" t="s">
        <v>22</v>
      </c>
      <c r="D63" s="3" t="s">
        <v>83</v>
      </c>
      <c r="E63" s="3">
        <v>0</v>
      </c>
      <c r="F63" s="3" t="s">
        <v>84</v>
      </c>
      <c r="G63" s="3">
        <v>0</v>
      </c>
      <c r="H63" s="3">
        <v>0</v>
      </c>
      <c r="I63" s="3">
        <v>0</v>
      </c>
      <c r="J63" s="3"/>
      <c r="K63" s="3" t="s">
        <v>152</v>
      </c>
    </row>
    <row r="64" spans="1:11" x14ac:dyDescent="0.35">
      <c r="A64" s="3" t="s">
        <v>153</v>
      </c>
      <c r="B64" s="3" t="s">
        <v>61</v>
      </c>
      <c r="C64" s="3" t="s">
        <v>22</v>
      </c>
      <c r="D64" s="3" t="s">
        <v>85</v>
      </c>
      <c r="E64" s="3">
        <v>1</v>
      </c>
      <c r="F64" s="3" t="s">
        <v>84</v>
      </c>
      <c r="G64" s="3">
        <v>0.8</v>
      </c>
      <c r="H64" s="3">
        <v>1</v>
      </c>
      <c r="I64" s="3">
        <v>1.2</v>
      </c>
      <c r="J64" s="3"/>
      <c r="K64" s="3" t="s">
        <v>154</v>
      </c>
    </row>
    <row r="65" spans="1:11" x14ac:dyDescent="0.35">
      <c r="A65" s="3" t="s">
        <v>155</v>
      </c>
      <c r="B65" s="3" t="s">
        <v>61</v>
      </c>
      <c r="C65" s="3" t="s">
        <v>22</v>
      </c>
      <c r="D65" s="3" t="s">
        <v>83</v>
      </c>
      <c r="E65" s="3">
        <v>0</v>
      </c>
      <c r="F65" s="3" t="s">
        <v>84</v>
      </c>
      <c r="G65" s="3">
        <v>0</v>
      </c>
      <c r="H65" s="3">
        <v>0</v>
      </c>
      <c r="I65" s="3">
        <v>0</v>
      </c>
      <c r="J65" s="3"/>
      <c r="K65" s="3" t="s">
        <v>156</v>
      </c>
    </row>
    <row r="66" spans="1:11" x14ac:dyDescent="0.35">
      <c r="A66" s="3" t="s">
        <v>157</v>
      </c>
      <c r="B66" s="3" t="s">
        <v>61</v>
      </c>
      <c r="C66" s="3" t="s">
        <v>22</v>
      </c>
      <c r="D66" s="3" t="s">
        <v>85</v>
      </c>
      <c r="E66" s="3">
        <v>1</v>
      </c>
      <c r="F66" s="3" t="s">
        <v>84</v>
      </c>
      <c r="G66" s="3">
        <v>0.8</v>
      </c>
      <c r="H66" s="3">
        <v>1</v>
      </c>
      <c r="I66" s="3">
        <v>1.2</v>
      </c>
      <c r="J66" s="3"/>
      <c r="K66" s="3" t="s">
        <v>158</v>
      </c>
    </row>
    <row r="67" spans="1:11" x14ac:dyDescent="0.35">
      <c r="A67" s="3" t="s">
        <v>159</v>
      </c>
      <c r="B67" s="3" t="s">
        <v>61</v>
      </c>
      <c r="C67" s="3" t="s">
        <v>22</v>
      </c>
      <c r="D67" s="3" t="s">
        <v>83</v>
      </c>
      <c r="E67" s="3">
        <v>0</v>
      </c>
      <c r="F67" s="3" t="s">
        <v>84</v>
      </c>
      <c r="G67" s="3">
        <v>0</v>
      </c>
      <c r="H67" s="3">
        <v>0</v>
      </c>
      <c r="I67" s="3">
        <v>0</v>
      </c>
      <c r="J67" s="3"/>
      <c r="K67" s="3" t="s">
        <v>160</v>
      </c>
    </row>
    <row r="68" spans="1:11" x14ac:dyDescent="0.35">
      <c r="A68" s="3" t="s">
        <v>161</v>
      </c>
      <c r="B68" s="3" t="s">
        <v>61</v>
      </c>
      <c r="C68" s="3" t="s">
        <v>22</v>
      </c>
      <c r="D68" s="3" t="s">
        <v>85</v>
      </c>
      <c r="E68" s="3">
        <v>1</v>
      </c>
      <c r="F68" s="3" t="s">
        <v>84</v>
      </c>
      <c r="G68" s="3">
        <v>0.8</v>
      </c>
      <c r="H68" s="3">
        <v>1</v>
      </c>
      <c r="I68" s="3">
        <v>1.2</v>
      </c>
      <c r="J68" s="3"/>
      <c r="K68" s="3" t="s">
        <v>162</v>
      </c>
    </row>
    <row r="69" spans="1:11" x14ac:dyDescent="0.35">
      <c r="A69" s="3" t="s">
        <v>163</v>
      </c>
      <c r="B69" s="3" t="s">
        <v>61</v>
      </c>
      <c r="C69" s="3" t="s">
        <v>22</v>
      </c>
      <c r="D69" s="3" t="s">
        <v>83</v>
      </c>
      <c r="E69" s="3">
        <v>0</v>
      </c>
      <c r="F69" s="3" t="s">
        <v>84</v>
      </c>
      <c r="G69" s="3">
        <v>0</v>
      </c>
      <c r="H69" s="3">
        <v>0</v>
      </c>
      <c r="I69" s="3">
        <v>0</v>
      </c>
      <c r="J69" s="3"/>
      <c r="K69" s="3" t="s">
        <v>164</v>
      </c>
    </row>
    <row r="70" spans="1:11" x14ac:dyDescent="0.35">
      <c r="A70" s="3" t="s">
        <v>165</v>
      </c>
      <c r="B70" s="3" t="s">
        <v>61</v>
      </c>
      <c r="C70" s="3" t="s">
        <v>22</v>
      </c>
      <c r="D70" s="3" t="s">
        <v>83</v>
      </c>
      <c r="E70" s="3">
        <v>0</v>
      </c>
      <c r="F70" s="3" t="s">
        <v>84</v>
      </c>
      <c r="G70" s="3">
        <v>0</v>
      </c>
      <c r="H70" s="3">
        <v>0</v>
      </c>
      <c r="I70" s="3">
        <v>0</v>
      </c>
      <c r="J70" s="3"/>
      <c r="K70" s="3" t="s">
        <v>166</v>
      </c>
    </row>
    <row r="71" spans="1:11" x14ac:dyDescent="0.35">
      <c r="A71" s="3" t="s">
        <v>167</v>
      </c>
      <c r="B71" s="3" t="s">
        <v>61</v>
      </c>
      <c r="C71" s="3" t="s">
        <v>22</v>
      </c>
      <c r="D71" s="3" t="s">
        <v>85</v>
      </c>
      <c r="E71" s="3">
        <v>1</v>
      </c>
      <c r="F71" s="3" t="s">
        <v>84</v>
      </c>
      <c r="G71" s="3">
        <v>0.8</v>
      </c>
      <c r="H71" s="3">
        <v>1</v>
      </c>
      <c r="I71" s="3">
        <v>1.2</v>
      </c>
      <c r="J71" s="3"/>
      <c r="K71" s="3" t="s">
        <v>168</v>
      </c>
    </row>
    <row r="72" spans="1:11" x14ac:dyDescent="0.35">
      <c r="A72" s="3" t="s">
        <v>169</v>
      </c>
      <c r="B72" s="3" t="s">
        <v>61</v>
      </c>
      <c r="C72" s="3" t="s">
        <v>22</v>
      </c>
      <c r="D72" s="3" t="s">
        <v>85</v>
      </c>
      <c r="E72" s="3">
        <v>0</v>
      </c>
      <c r="F72" s="3" t="s">
        <v>84</v>
      </c>
      <c r="G72" s="3">
        <v>0</v>
      </c>
      <c r="H72" s="3">
        <v>0</v>
      </c>
      <c r="I72" s="3">
        <v>0</v>
      </c>
      <c r="J72" s="3"/>
      <c r="K72" s="3" t="s">
        <v>170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Sarang Bhagwat</dc:creator>
  <cp:lastModifiedBy>Bhagwat, Sarang Sunil</cp:lastModifiedBy>
  <dcterms:created xsi:type="dcterms:W3CDTF">2015-06-05T18:17:20Z</dcterms:created>
  <dcterms:modified xsi:type="dcterms:W3CDTF">2026-01-28T23:53:51Z</dcterms:modified>
</cp:coreProperties>
</file>