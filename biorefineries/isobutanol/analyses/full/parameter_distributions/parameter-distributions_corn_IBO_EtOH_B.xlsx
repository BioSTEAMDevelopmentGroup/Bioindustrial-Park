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7B7189EE-26EF-4DE6-9BA5-179C71AF3E3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R12" i="1" s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R13" i="1"/>
  <c r="S13" i="1"/>
  <c r="T13" i="1"/>
  <c r="P14" i="1"/>
  <c r="Q14" i="1"/>
  <c r="R14" i="1"/>
  <c r="S14" i="1"/>
  <c r="T14" i="1"/>
  <c r="P15" i="1"/>
  <c r="Q15" i="1"/>
  <c r="R15" i="1"/>
  <c r="S15" i="1"/>
  <c r="T15" i="1"/>
  <c r="P16" i="1"/>
  <c r="Q16" i="1"/>
  <c r="R16" i="1"/>
  <c r="S16" i="1"/>
  <c r="T16" i="1"/>
  <c r="P17" i="1"/>
  <c r="Q17" i="1"/>
  <c r="R17" i="1"/>
  <c r="S17" i="1"/>
  <c r="T17" i="1"/>
  <c r="P18" i="1"/>
  <c r="Q18" i="1"/>
  <c r="R18" i="1"/>
  <c r="S18" i="1"/>
  <c r="T18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I12" i="1" l="1"/>
  <c r="H12" i="1"/>
  <c r="H18" i="1"/>
  <c r="G18" i="1" s="1"/>
  <c r="I15" i="1"/>
  <c r="H15" i="1"/>
  <c r="G15" i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18" i="1" l="1"/>
  <c r="I3" i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<sst xmlns="http://schemas.openxmlformats.org/spreadsheetml/2006/main" count="455" uniqueCount="194">
  <si>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</si>
  <si>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</si>
  <si>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</si>
  <si>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</si>
  <si>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</si>
  <si>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</si>
  <si>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</si>
  <si>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</si>
  <si>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</si>
  <si>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</si>
  <si>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</si>
  <si>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</si>
  <si>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</si>
  <si>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</si>
  <si>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</si>
  <si>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</si>
  <si>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</si>
  <si>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</si>
  <si>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</si>
  <si>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</si>
  <si>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</si>
  <si>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</si>
  <si>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</si>
  <si>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</si>
  <si>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</si>
  <si>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</si>
  <si>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</si>
  <si>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</si>
  <si>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</si>
  <si>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</si>
  <si>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</si>
  <si>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</si>
  <si>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</si>
  <si>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</si>
  <si>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</si>
  <si>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</si>
  <si>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</si>
  <si>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</si>
  <si>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</si>
  <si>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</si>
  <si>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</si>
  <si>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</si>
  <si>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</si>
  <si>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</si>
  <si>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</si>
  <si>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</si>
  <si>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</si>
  <si>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</si>
  <si>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</si>
  <si>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</si>
  <si>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</si>
  <si>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</si>
  <si>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</si>
  <si>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</si>
  <si>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</si>
  <si>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</si>
  <si>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</si>
  <si>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</si>
  <si>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</si>
  <si>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</si>
  <si>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</si>
  <si>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</si>
  <si>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</si>
  <si>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</si>
  <si>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</si>
  <si>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</si>
  <si>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</si>
  <si>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</si>
  <si>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</si>
  <si>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</si>
  <si>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</si>
  <si>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</si>
  <si>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</si>
  <si>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</si>
  <si>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</si>
  <si>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</si>
  <si>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</si>
  <si>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</si>
  <si>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</si>
  <si>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</si>
  <si>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</si>
  <si>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</si>
  <si>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</si>
  <si>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</si>
  <si>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</si>
  <si>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</si>
  <si>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</si>
  <si>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</si>
  <si>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</si>
  <si>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</si>
  <si>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</si>
  <si>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</si>
  <si>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</si>
  <si>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</si>
  <si>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</si>
  <si>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</si>
  <si>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</si>
  <si>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</si>
  <si>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</si>
  <si>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</si>
  <si>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</si>
  <si>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</si>
  <si>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</si>
  <si>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</si>
  <si>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</si>
  <si>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</si>
  <si>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</si>
  <si>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</si>
  <si>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</si>
  <si>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</si>
  <si>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</si>
  <si>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</si>
  <si>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</si>
  <si>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</si>
  <si>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</si>
  <si>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</si>
  <si>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</si>
  <si>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</si>
  <si>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</si>
  <si>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</si>
  <si>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</si>
  <si>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</si>
  <si>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</si>
  <si>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</si>
  <si>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</si>
  <si>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</si>
  <si>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</si>
  <si>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</si>
  <si>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</si>
  <si>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</si>
  <si>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</si>
  <si>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</si>
  <si>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</si>
  <si>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</si>
  <si>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</si>
  <si>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</si>
  <si>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</si>
  <si>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</si>
  <si>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</si>
  <si>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</si>
  <si>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</si>
  <si>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</si>
  <si>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</si>
  <si>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</si>
  <si>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</si>
  <si>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</si>
  <si>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</si>
  <si>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</si>
  <si>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</si>
  <si>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</si>
  <si>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</si>
  <si>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</si>
  <si>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</si>
  <si>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</si>
  <si>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</si>
  <si>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</si>
  <si>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</si>
  <si>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</si>
  <si>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</si>
  <si>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</si>
  <si>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</si>
  <si>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</si>
  <si>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</si>
  <si>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</si>
  <si>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</si>
  <si>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</si>
  <si>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</si>
  <si>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</si>
  <si>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</si>
  <si>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</si>
  <si>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</si>
  <si>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</si>
  <si>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</si>
  <si>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</si>
  <si>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</si>
  <si>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</si>
  <si>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</si>
  <si>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</si>
  <si>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</si>
  <si>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</si>
  <si>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</si>
  <si>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</si>
  <si>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</si>
  <si>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</si>
  <si>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</si>
  <si>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</si>
  <si>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kg/kg-water</t>
  </si>
  <si>
    <t>feedstock.imass['Starch'] =x * feedstock.imass['Water']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</si>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</sst>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1.49</v>
          </cell>
          <cell r="F12" t="str">
            <v>Triangular</v>
          </cell>
          <cell r="G12">
            <v>1.1919999999999999</v>
          </cell>
          <cell r="H12">
            <v>1.49</v>
          </cell>
          <cell r="I12">
            <v>1.788</v>
          </cell>
        </row>
        <row r="13">
          <cell r="E13">
            <v>3.2</v>
          </cell>
          <cell r="F13" t="str">
            <v>Uniform</v>
          </cell>
          <cell r="G13">
            <v>2.5600000000000005</v>
          </cell>
          <cell r="I13">
            <v>3.84</v>
          </cell>
        </row>
        <row r="14">
          <cell r="E14">
            <v>0.28599999999999998</v>
          </cell>
          <cell r="F14" t="str">
            <v>Triangular</v>
          </cell>
          <cell r="G14">
            <v>0.17499999999999999</v>
          </cell>
          <cell r="H14">
            <v>0.28599999999999998</v>
          </cell>
          <cell r="I14">
            <v>0.315</v>
          </cell>
        </row>
        <row r="15">
          <cell r="E15">
            <v>0.10355</v>
          </cell>
          <cell r="F15" t="str">
            <v>Triangular</v>
          </cell>
          <cell r="G15">
            <v>9.3195E-2</v>
          </cell>
          <cell r="H15">
            <v>0.10355</v>
          </cell>
          <cell r="I15">
            <v>0.11390500000000001</v>
          </cell>
        </row>
        <row r="16">
          <cell r="E16">
            <v>0.21</v>
          </cell>
          <cell r="F16" t="str">
            <v>Uniform</v>
          </cell>
          <cell r="G16">
            <v>0.15</v>
          </cell>
          <cell r="I16">
            <v>0.28000000000000003</v>
          </cell>
        </row>
        <row r="17">
          <cell r="E17">
            <v>0.15</v>
          </cell>
          <cell r="F17" t="str">
            <v>Uniform</v>
          </cell>
          <cell r="G17">
            <v>0.12</v>
          </cell>
          <cell r="I17">
            <v>0.18</v>
          </cell>
        </row>
        <row r="18">
          <cell r="E18">
            <v>4.08</v>
          </cell>
          <cell r="F18" t="str">
            <v>Triangular</v>
          </cell>
          <cell r="G18">
            <v>3.2640000000000002</v>
          </cell>
          <cell r="H18">
            <v>4.08</v>
          </cell>
          <cell r="I18">
            <v>4.8959999999999999</v>
          </cell>
        </row>
        <row r="19">
          <cell r="E19">
            <v>56972</v>
          </cell>
          <cell r="F19" t="str">
            <v>Triangular</v>
          </cell>
          <cell r="G19">
            <v>45577.600000000006</v>
          </cell>
          <cell r="H19">
            <v>56972</v>
          </cell>
          <cell r="I19">
            <v>68366.399999999994</v>
          </cell>
        </row>
        <row r="20">
          <cell r="E20">
            <v>2</v>
          </cell>
          <cell r="F20" t="str">
            <v>Uniform</v>
          </cell>
          <cell r="G20">
            <v>1</v>
          </cell>
          <cell r="I20">
            <v>3</v>
          </cell>
        </row>
        <row r="21">
          <cell r="E21">
            <v>156</v>
          </cell>
          <cell r="F21" t="str">
            <v>Triangular</v>
          </cell>
          <cell r="G21">
            <v>124.80000000000001</v>
          </cell>
          <cell r="H21">
            <v>156</v>
          </cell>
          <cell r="I21">
            <v>187.2</v>
          </cell>
        </row>
        <row r="22">
          <cell r="E22">
            <v>156</v>
          </cell>
          <cell r="F22" t="str">
            <v>Triangular</v>
          </cell>
          <cell r="G22">
            <v>124.80000000000001</v>
          </cell>
          <cell r="H22">
            <v>156</v>
          </cell>
          <cell r="I22">
            <v>187.2</v>
          </cell>
        </row>
        <row r="23">
          <cell r="E23">
            <v>1.43</v>
          </cell>
          <cell r="F23" t="str">
            <v>triangular</v>
          </cell>
          <cell r="G23">
            <v>1.1439999999999999</v>
          </cell>
          <cell r="H23">
            <v>1.43</v>
          </cell>
          <cell r="I23">
            <v>1.716</v>
          </cell>
        </row>
        <row r="24">
          <cell r="E24">
            <v>0.94</v>
          </cell>
          <cell r="F24" t="str">
            <v>triangular</v>
          </cell>
          <cell r="G24">
            <v>0.752</v>
          </cell>
          <cell r="H24">
            <v>0.94</v>
          </cell>
          <cell r="I24">
            <v>1.1279999999999999</v>
          </cell>
        </row>
        <row r="25">
          <cell r="E25">
            <v>0.58399999999999996</v>
          </cell>
          <cell r="F25" t="str">
            <v>triangular</v>
          </cell>
          <cell r="G25">
            <v>0.4672</v>
          </cell>
          <cell r="H25">
            <v>0.58399999999999996</v>
          </cell>
          <cell r="I25">
            <v>0.70079999999999998</v>
          </cell>
        </row>
        <row r="26">
          <cell r="E26">
            <v>1.1599999999999999E-2</v>
          </cell>
          <cell r="F26" t="str">
            <v>triangular</v>
          </cell>
          <cell r="G26">
            <v>9.2800000000000001E-3</v>
          </cell>
          <cell r="H26">
            <v>1.1599999999999999E-2</v>
          </cell>
          <cell r="I26">
            <v>1.3919999999999899E-2</v>
          </cell>
        </row>
        <row r="27">
          <cell r="E27">
            <v>47.1</v>
          </cell>
          <cell r="F27" t="str">
            <v>triangular</v>
          </cell>
          <cell r="G27">
            <v>37.68</v>
          </cell>
          <cell r="H27">
            <v>47.1</v>
          </cell>
          <cell r="I27">
            <v>56.52</v>
          </cell>
        </row>
        <row r="28">
          <cell r="E28">
            <v>14.2</v>
          </cell>
          <cell r="F28" t="str">
            <v>triangular</v>
          </cell>
          <cell r="G28">
            <v>11.36</v>
          </cell>
          <cell r="H28">
            <v>14.2</v>
          </cell>
          <cell r="I28">
            <v>17.04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0.12</v>
          </cell>
          <cell r="F31" t="str">
            <v>triangular</v>
          </cell>
          <cell r="G31">
            <v>9.6000000000000002E-2</v>
          </cell>
          <cell r="H31">
            <v>0.12</v>
          </cell>
          <cell r="I31">
            <v>0.14399999999999999</v>
          </cell>
        </row>
        <row r="32">
          <cell r="E32">
            <v>0.04</v>
          </cell>
          <cell r="F32" t="str">
            <v>triangular</v>
          </cell>
          <cell r="G32">
            <v>3.2000000000000001E-2</v>
          </cell>
          <cell r="H32">
            <v>0.04</v>
          </cell>
          <cell r="I32">
            <v>4.8000000000000001E-2</v>
          </cell>
        </row>
        <row r="33">
          <cell r="E33">
            <v>0.501</v>
          </cell>
          <cell r="F33" t="str">
            <v>triangular</v>
          </cell>
          <cell r="G33">
            <v>0.40079999999999999</v>
          </cell>
          <cell r="H33">
            <v>0.501</v>
          </cell>
          <cell r="I33">
            <v>0.60119999999999996</v>
          </cell>
        </row>
        <row r="34">
          <cell r="E34">
            <v>2.0000000000000002E-5</v>
          </cell>
          <cell r="F34" t="str">
            <v>triangular</v>
          </cell>
          <cell r="G34">
            <v>1.5999999999999999E-5</v>
          </cell>
          <cell r="H34">
            <v>2.0000000000000002E-5</v>
          </cell>
          <cell r="I34">
            <v>2.4000000000000001E-5</v>
          </cell>
        </row>
        <row r="35">
          <cell r="E35">
            <v>0.10100000000000001</v>
          </cell>
          <cell r="F35" t="str">
            <v>triangular</v>
          </cell>
          <cell r="G35">
            <v>8.0799999999999997E-2</v>
          </cell>
          <cell r="H35">
            <v>0.10100000000000001</v>
          </cell>
          <cell r="I35">
            <v>0.1212</v>
          </cell>
        </row>
        <row r="36">
          <cell r="E36">
            <v>5.81</v>
          </cell>
          <cell r="F36" t="str">
            <v>triangular</v>
          </cell>
          <cell r="G36">
            <v>4.6479999999999997</v>
          </cell>
          <cell r="H36">
            <v>5.81</v>
          </cell>
          <cell r="I36">
            <v>6.9719999999999898</v>
          </cell>
        </row>
        <row r="37">
          <cell r="E37">
            <v>4.9999999999999998E-7</v>
          </cell>
          <cell r="F37" t="str">
            <v>triangular</v>
          </cell>
          <cell r="G37">
            <v>3.9999999999999998E-7</v>
          </cell>
          <cell r="H37">
            <v>4.9999999999999998E-7</v>
          </cell>
          <cell r="I37">
            <v>5.9999999999999997E-7</v>
          </cell>
        </row>
        <row r="38">
          <cell r="E38">
            <v>4.8</v>
          </cell>
          <cell r="F38" t="str">
            <v>triangular</v>
          </cell>
          <cell r="G38">
            <v>3.84</v>
          </cell>
          <cell r="H38">
            <v>4.8</v>
          </cell>
          <cell r="I38">
            <v>5.76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0.12</v>
          </cell>
          <cell r="F40" t="str">
            <v>triangular</v>
          </cell>
          <cell r="G40">
            <v>9.6000000000000002E-2</v>
          </cell>
          <cell r="H40">
            <v>0.12</v>
          </cell>
          <cell r="I40">
            <v>0.14399999999999999</v>
          </cell>
        </row>
        <row r="41">
          <cell r="E41">
            <v>0.04</v>
          </cell>
          <cell r="F41" t="str">
            <v>triangular</v>
          </cell>
          <cell r="G41">
            <v>3.2000000000000001E-2</v>
          </cell>
          <cell r="H41">
            <v>0.04</v>
          </cell>
          <cell r="I41">
            <v>4.8000000000000001E-2</v>
          </cell>
        </row>
        <row r="42">
          <cell r="E42">
            <v>2.6400000000000002E-4</v>
          </cell>
          <cell r="F42" t="str">
            <v>triangular</v>
          </cell>
          <cell r="G42">
            <v>2.1120000000000001E-4</v>
          </cell>
          <cell r="H42">
            <v>2.6400000000000002E-4</v>
          </cell>
          <cell r="I42">
            <v>3.168E-4</v>
          </cell>
        </row>
        <row r="43">
          <cell r="E43">
            <v>1.04E-2</v>
          </cell>
          <cell r="F43" t="str">
            <v>triangular</v>
          </cell>
          <cell r="G43">
            <v>8.3199999999999993E-3</v>
          </cell>
          <cell r="H43">
            <v>1.04E-2</v>
          </cell>
          <cell r="I43">
            <v>1.248E-2</v>
          </cell>
        </row>
        <row r="44">
          <cell r="E44">
            <v>1.0200000000000001E-2</v>
          </cell>
          <cell r="F44" t="str">
            <v>triangular</v>
          </cell>
          <cell r="G44">
            <v>8.1600000000000006E-3</v>
          </cell>
          <cell r="H44">
            <v>1.0200000000000001E-2</v>
          </cell>
          <cell r="I44">
            <v>1.2239999999999999E-2</v>
          </cell>
        </row>
        <row r="45">
          <cell r="E45">
            <v>0.77500000000000002</v>
          </cell>
          <cell r="F45" t="str">
            <v>triangular</v>
          </cell>
          <cell r="G45">
            <v>0.62</v>
          </cell>
          <cell r="H45">
            <v>0.77500000000000002</v>
          </cell>
          <cell r="I45">
            <v>0.92999999999999905</v>
          </cell>
        </row>
        <row r="46">
          <cell r="E46">
            <v>0.1</v>
          </cell>
          <cell r="F46" t="str">
            <v>triangular</v>
          </cell>
          <cell r="G46">
            <v>0.08</v>
          </cell>
          <cell r="H46">
            <v>0.1</v>
          </cell>
          <cell r="I46">
            <v>0.12</v>
          </cell>
        </row>
        <row r="47">
          <cell r="E47">
            <v>440</v>
          </cell>
          <cell r="F47" t="str">
            <v>triangular</v>
          </cell>
          <cell r="G47">
            <v>352</v>
          </cell>
          <cell r="H47">
            <v>440</v>
          </cell>
          <cell r="I47">
            <v>528</v>
          </cell>
        </row>
        <row r="48">
          <cell r="E48">
            <v>2.82</v>
          </cell>
          <cell r="F48" t="str">
            <v>triangular</v>
          </cell>
          <cell r="G48">
            <v>2.2559999999999998</v>
          </cell>
          <cell r="H48">
            <v>2.82</v>
          </cell>
          <cell r="I48">
            <v>3.3839999999999999</v>
          </cell>
        </row>
        <row r="49">
          <cell r="E49">
            <v>1.2500000000000001E-2</v>
          </cell>
          <cell r="F49" t="str">
            <v>triangular</v>
          </cell>
          <cell r="G49">
            <v>0.01</v>
          </cell>
          <cell r="H49">
            <v>1.2500000000000001E-2</v>
          </cell>
          <cell r="I49">
            <v>1.4999999999999999E-2</v>
          </cell>
        </row>
        <row r="50">
          <cell r="E50">
            <v>3.4000000000000002E-2</v>
          </cell>
          <cell r="F50" t="str">
            <v>triangular</v>
          </cell>
          <cell r="G50">
            <v>2.7199999999999998E-2</v>
          </cell>
          <cell r="H50">
            <v>3.4000000000000002E-2</v>
          </cell>
          <cell r="I50">
            <v>4.0800000000000003E-2</v>
          </cell>
        </row>
        <row r="51">
          <cell r="E51">
            <v>5.7000000000000002E-2</v>
          </cell>
          <cell r="F51" t="str">
            <v>triangular</v>
          </cell>
          <cell r="G51">
            <v>4.5600000000000002E-2</v>
          </cell>
          <cell r="H51">
            <v>5.7000000000000002E-2</v>
          </cell>
          <cell r="I51">
            <v>6.8400000000000002E-2</v>
          </cell>
        </row>
        <row r="52">
          <cell r="E52">
            <v>1.2030000000000001</v>
          </cell>
          <cell r="F52" t="str">
            <v>triangular</v>
          </cell>
          <cell r="G52">
            <v>0.96240000000000003</v>
          </cell>
          <cell r="H52">
            <v>1.2030000000000001</v>
          </cell>
          <cell r="I52">
            <v>1.4436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0.12</v>
          </cell>
          <cell r="F54" t="str">
            <v>triangular</v>
          </cell>
          <cell r="G54">
            <v>9.6000000000000002E-2</v>
          </cell>
          <cell r="H54">
            <v>0.12</v>
          </cell>
          <cell r="I54">
            <v>0.14399999999999999</v>
          </cell>
        </row>
        <row r="55">
          <cell r="E55">
            <v>0.04</v>
          </cell>
          <cell r="F55" t="str">
            <v>triangular</v>
          </cell>
          <cell r="G55">
            <v>3.2000000000000001E-2</v>
          </cell>
          <cell r="H55">
            <v>0.04</v>
          </cell>
          <cell r="I55">
            <v>4.8000000000000001E-2</v>
          </cell>
        </row>
        <row r="56">
          <cell r="E56">
            <v>1.01E-2</v>
          </cell>
          <cell r="F56" t="str">
            <v>triangular</v>
          </cell>
          <cell r="G56">
            <v>8.0800000000000004E-3</v>
          </cell>
          <cell r="H56">
            <v>1.01E-2</v>
          </cell>
          <cell r="I56">
            <v>1.21199999999999E-2</v>
          </cell>
        </row>
        <row r="57">
          <cell r="E57">
            <v>0.58899999999999997</v>
          </cell>
          <cell r="F57" t="str">
            <v>triangular</v>
          </cell>
          <cell r="G57">
            <v>0.47120000000000001</v>
          </cell>
          <cell r="H57">
            <v>0.58899999999999997</v>
          </cell>
          <cell r="I57">
            <v>0.70679999999999998</v>
          </cell>
        </row>
        <row r="58">
          <cell r="E58">
            <v>8.0000000000000002E-3</v>
          </cell>
          <cell r="F58" t="str">
            <v>triangular</v>
          </cell>
          <cell r="G58">
            <v>6.4000000000000003E-3</v>
          </cell>
          <cell r="H58">
            <v>8.0000000000000002E-3</v>
          </cell>
          <cell r="I58">
            <v>9.5999999999999992E-3</v>
          </cell>
        </row>
        <row r="59">
          <cell r="E59">
            <v>9.9999999999999995E-7</v>
          </cell>
          <cell r="F59" t="str">
            <v>triangular</v>
          </cell>
          <cell r="G59">
            <v>7.9999999999999996E-7</v>
          </cell>
          <cell r="H59">
            <v>9.9999999999999995E-7</v>
          </cell>
          <cell r="I59">
            <v>1.1999999999999999E-6</v>
          </cell>
        </row>
        <row r="60">
          <cell r="E60">
            <v>7.51E-2</v>
          </cell>
          <cell r="F60" t="str">
            <v>triangular</v>
          </cell>
          <cell r="G60">
            <v>6.0080000000000001E-2</v>
          </cell>
          <cell r="H60">
            <v>7.51E-2</v>
          </cell>
          <cell r="I60">
            <v>9.0119999999999895E-2</v>
          </cell>
        </row>
        <row r="61">
          <cell r="E61">
            <v>13</v>
          </cell>
          <cell r="F61" t="str">
            <v>triangular</v>
          </cell>
          <cell r="G61">
            <v>10.4</v>
          </cell>
          <cell r="H61">
            <v>13</v>
          </cell>
          <cell r="I61">
            <v>15.6</v>
          </cell>
        </row>
        <row r="62">
          <cell r="E62">
            <v>25</v>
          </cell>
          <cell r="F62" t="str">
            <v>triangular</v>
          </cell>
          <cell r="G62">
            <v>20</v>
          </cell>
          <cell r="H62">
            <v>25</v>
          </cell>
          <cell r="I62">
            <v>30</v>
          </cell>
        </row>
        <row r="63">
          <cell r="E63">
            <v>3.9899999999999996E-3</v>
          </cell>
          <cell r="F63" t="str">
            <v>triangular</v>
          </cell>
          <cell r="G63">
            <v>3.192E-3</v>
          </cell>
          <cell r="H63">
            <v>3.9899999999999996E-3</v>
          </cell>
          <cell r="I63">
            <v>4.7879999999999997E-3</v>
          </cell>
        </row>
        <row r="64">
          <cell r="E64">
            <v>0.06</v>
          </cell>
          <cell r="F64" t="str">
            <v>triangular</v>
          </cell>
          <cell r="G64">
            <v>4.8000000000000001E-2</v>
          </cell>
          <cell r="H64">
            <v>0.06</v>
          </cell>
          <cell r="I64">
            <v>7.1999999999999995E-2</v>
          </cell>
        </row>
        <row r="65">
          <cell r="E65">
            <v>0.02</v>
          </cell>
          <cell r="F65" t="str">
            <v>triangular</v>
          </cell>
          <cell r="G65">
            <v>1.6E-2</v>
          </cell>
          <cell r="H65">
            <v>0.02</v>
          </cell>
          <cell r="I65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H22" sqref="H22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192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193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f t="shared" si="0"/>
        <v>1.1919999999999999</v>
      </c>
      <c r="H12" s="4">
        <f>E12</f>
        <v>1.49</v>
      </c>
      <c r="I12" s="4">
        <f>1.2*E12</f>
        <v>1.788</v>
      </c>
      <c r="J12" s="4"/>
      <c r="K12" s="4" t="s">
        <v>183</v>
      </c>
      <c r="P12">
        <f>IF(E12=[1]Sheet1!E12,1,0)</f>
        <v>1</v>
      </c>
      <c r="Q12">
        <f>IF(F12=[1]Sheet1!F12,1,0)</f>
        <v>1</v>
      </c>
      <c r="R12">
        <f>IF(G12=[1]Sheet1!G12,1,0)</f>
        <v>1</v>
      </c>
      <c r="S12">
        <f>IF(H12=[1]Sheet1!H12,1,0)</f>
        <v>1</v>
      </c>
      <c r="T12">
        <f>IF(I12=[1]Sheet1!I12,1,0)</f>
        <v>1</v>
      </c>
    </row>
    <row r="13" spans="1:20" x14ac:dyDescent="0.35">
      <c r="A13" s="4" t="s">
        <v>188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1</v>
      </c>
      <c r="Q13">
        <f>IF(F13=[1]Sheet1!F13,1,0)</f>
        <v>1</v>
      </c>
      <c r="R13">
        <f>IF(G13=[1]Sheet1!G13,1,0)</f>
        <v>1</v>
      </c>
      <c r="S13">
        <f>IF(H13=[1]Sheet1!H13,1,0)</f>
        <v>1</v>
      </c>
      <c r="T13">
        <f>IF(I13=[1]Sheet1!I13,1,0)</f>
        <v>1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1</v>
      </c>
      <c r="Q14">
        <f>IF(F14=[1]Sheet1!F14,1,0)</f>
        <v>1</v>
      </c>
      <c r="R14">
        <f>IF(G14=[1]Sheet1!G14,1,0)</f>
        <v>1</v>
      </c>
      <c r="S14">
        <f>IF(H14=[1]Sheet1!H14,1,0)</f>
        <v>1</v>
      </c>
      <c r="T14">
        <f>IF(I14=[1]Sheet1!I14,1,0)</f>
        <v>1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  <c r="P15">
        <f>IF(E15=[1]Sheet1!E15,1,0)</f>
        <v>1</v>
      </c>
      <c r="Q15">
        <f>IF(F15=[1]Sheet1!F15,1,0)</f>
        <v>1</v>
      </c>
      <c r="R15">
        <f>IF(G15=[1]Sheet1!G15,1,0)</f>
        <v>1</v>
      </c>
      <c r="S15">
        <f>IF(H15=[1]Sheet1!H15,1,0)</f>
        <v>1</v>
      </c>
      <c r="T15">
        <f>IF(I15=[1]Sheet1!I15,1,0)</f>
        <v>1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1</v>
      </c>
      <c r="Q16">
        <f>IF(F16=[1]Sheet1!F16,1,0)</f>
        <v>1</v>
      </c>
      <c r="R16">
        <f>IF(G16=[1]Sheet1!G16,1,0)</f>
        <v>1</v>
      </c>
      <c r="S16">
        <f>IF(H16=[1]Sheet1!H16,1,0)</f>
        <v>1</v>
      </c>
      <c r="T16">
        <f>IF(I16=[1]Sheet1!I16,1,0)</f>
        <v>1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1</v>
      </c>
      <c r="Q17">
        <f>IF(F17=[1]Sheet1!F17,1,0)</f>
        <v>1</v>
      </c>
      <c r="R17">
        <f>IF(G17=[1]Sheet1!G17,1,0)</f>
        <v>1</v>
      </c>
      <c r="S17">
        <f>IF(H17=[1]Sheet1!H17,1,0)</f>
        <v>1</v>
      </c>
      <c r="T17">
        <f>IF(I17=[1]Sheet1!I17,1,0)</f>
        <v>1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186</v>
      </c>
      <c r="E18" s="3">
        <v>4.08</v>
      </c>
      <c r="F18" s="3" t="s">
        <v>27</v>
      </c>
      <c r="G18" s="3">
        <f>0.8*H18</f>
        <v>3.2640000000000002</v>
      </c>
      <c r="H18" s="3">
        <f>E18</f>
        <v>4.08</v>
      </c>
      <c r="I18" s="3">
        <f>1.2*H18</f>
        <v>4.8959999999999999</v>
      </c>
      <c r="J18" s="3"/>
      <c r="K18" s="3" t="s">
        <v>187</v>
      </c>
      <c r="P18">
        <f>IF(E18=[1]Sheet1!E18,1,0)</f>
        <v>1</v>
      </c>
      <c r="Q18">
        <f>IF(F18=[1]Sheet1!F18,1,0)</f>
        <v>1</v>
      </c>
      <c r="R18">
        <f>IF(G18=[1]Sheet1!G18,1,0)</f>
        <v>1</v>
      </c>
      <c r="S18">
        <f>IF(H18=[1]Sheet1!H18,1,0)</f>
        <v>1</v>
      </c>
      <c r="T18">
        <f>IF(I18=[1]Sheet1!I18,1,0)</f>
        <v>1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1</v>
      </c>
      <c r="Q19">
        <f>IF(F19=[1]Sheet1!F19,1,0)</f>
        <v>1</v>
      </c>
      <c r="R19">
        <f>IF(G19=[1]Sheet1!G19,1,0)</f>
        <v>1</v>
      </c>
      <c r="S19">
        <f>IF(H19=[1]Sheet1!H19,1,0)</f>
        <v>1</v>
      </c>
      <c r="T19">
        <f>IF(I19=[1]Sheet1!I19,1,0)</f>
        <v>1</v>
      </c>
    </row>
    <row r="20" spans="1:20" x14ac:dyDescent="0.35">
      <c r="A20" s="3" t="s">
        <v>189</v>
      </c>
      <c r="B20" s="3" t="s">
        <v>190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191</v>
      </c>
      <c r="P20">
        <f>IF(E20=[1]Sheet1!E20,1,0)</f>
        <v>1</v>
      </c>
      <c r="Q20">
        <f>IF(F20=[1]Sheet1!F20,1,0)</f>
        <v>1</v>
      </c>
      <c r="R20">
        <f>IF(G20=[1]Sheet1!G20,1,0)</f>
        <v>1</v>
      </c>
      <c r="S20">
        <f>IF(H20=[1]Sheet1!H20,1,0)</f>
        <v>1</v>
      </c>
      <c r="T20">
        <f>IF(I20=[1]Sheet1!I20,1,0)</f>
        <v>1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1</v>
      </c>
      <c r="Q21">
        <f>IF(F21=[1]Sheet1!F21,1,0)</f>
        <v>1</v>
      </c>
      <c r="R21">
        <f>IF(G21=[1]Sheet1!G21,1,0)</f>
        <v>1</v>
      </c>
      <c r="S21">
        <f>IF(H21=[1]Sheet1!H21,1,0)</f>
        <v>1</v>
      </c>
      <c r="T21">
        <f>IF(I21=[1]Sheet1!I21,1,0)</f>
        <v>1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1</v>
      </c>
      <c r="Q22">
        <f>IF(F22=[1]Sheet1!F22,1,0)</f>
        <v>1</v>
      </c>
      <c r="R22">
        <f>IF(G22=[1]Sheet1!G22,1,0)</f>
        <v>1</v>
      </c>
      <c r="S22">
        <f>IF(H22=[1]Sheet1!H22,1,0)</f>
        <v>1</v>
      </c>
      <c r="T22">
        <f>IF(I22=[1]Sheet1!I22,1,0)</f>
        <v>1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1</v>
      </c>
      <c r="Q23">
        <f>IF(F23=[1]Sheet1!F23,1,0)</f>
        <v>1</v>
      </c>
      <c r="R23">
        <f>IF(G23=[1]Sheet1!G23,1,0)</f>
        <v>1</v>
      </c>
      <c r="S23">
        <f>IF(H23=[1]Sheet1!H23,1,0)</f>
        <v>1</v>
      </c>
      <c r="T23">
        <f>IF(I23=[1]Sheet1!I23,1,0)</f>
        <v>1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1</v>
      </c>
      <c r="Q24">
        <f>IF(F24=[1]Sheet1!F24,1,0)</f>
        <v>1</v>
      </c>
      <c r="R24">
        <f>IF(G24=[1]Sheet1!G24,1,0)</f>
        <v>1</v>
      </c>
      <c r="S24">
        <f>IF(H24=[1]Sheet1!H24,1,0)</f>
        <v>1</v>
      </c>
      <c r="T24">
        <f>IF(I24=[1]Sheet1!I24,1,0)</f>
        <v>1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1</v>
      </c>
      <c r="Q25">
        <f>IF(F25=[1]Sheet1!F25,1,0)</f>
        <v>1</v>
      </c>
      <c r="R25">
        <f>IF(G25=[1]Sheet1!G25,1,0)</f>
        <v>1</v>
      </c>
      <c r="S25">
        <f>IF(H25=[1]Sheet1!H25,1,0)</f>
        <v>1</v>
      </c>
      <c r="T25">
        <f>IF(I25=[1]Sheet1!I25,1,0)</f>
        <v>1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1</v>
      </c>
      <c r="Q26">
        <f>IF(F26=[1]Sheet1!F26,1,0)</f>
        <v>1</v>
      </c>
      <c r="R26">
        <f>IF(G26=[1]Sheet1!G26,1,0)</f>
        <v>1</v>
      </c>
      <c r="S26">
        <f>IF(H26=[1]Sheet1!H26,1,0)</f>
        <v>1</v>
      </c>
      <c r="T26">
        <f>IF(I26=[1]Sheet1!I26,1,0)</f>
        <v>1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1</v>
      </c>
      <c r="Q27">
        <f>IF(F27=[1]Sheet1!F27,1,0)</f>
        <v>1</v>
      </c>
      <c r="R27">
        <f>IF(G27=[1]Sheet1!G27,1,0)</f>
        <v>1</v>
      </c>
      <c r="S27">
        <f>IF(H27=[1]Sheet1!H27,1,0)</f>
        <v>1</v>
      </c>
      <c r="T27">
        <f>IF(I27=[1]Sheet1!I27,1,0)</f>
        <v>1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1</v>
      </c>
      <c r="Q28">
        <f>IF(F28=[1]Sheet1!F28,1,0)</f>
        <v>1</v>
      </c>
      <c r="R28">
        <f>IF(G28=[1]Sheet1!G28,1,0)</f>
        <v>1</v>
      </c>
      <c r="S28">
        <f>IF(H28=[1]Sheet1!H28,1,0)</f>
        <v>1</v>
      </c>
      <c r="T28">
        <f>IF(I28=[1]Sheet1!I28,1,0)</f>
        <v>1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1</v>
      </c>
      <c r="Q31">
        <f>IF(F31=[1]Sheet1!F31,1,0)</f>
        <v>1</v>
      </c>
      <c r="R31">
        <f>IF(G31=[1]Sheet1!G31,1,0)</f>
        <v>1</v>
      </c>
      <c r="S31">
        <f>IF(H31=[1]Sheet1!H31,1,0)</f>
        <v>1</v>
      </c>
      <c r="T31">
        <f>IF(I31=[1]Sheet1!I31,1,0)</f>
        <v>1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1</v>
      </c>
      <c r="Q32">
        <f>IF(F32=[1]Sheet1!F32,1,0)</f>
        <v>1</v>
      </c>
      <c r="R32">
        <f>IF(G32=[1]Sheet1!G32,1,0)</f>
        <v>1</v>
      </c>
      <c r="S32">
        <f>IF(H32=[1]Sheet1!H32,1,0)</f>
        <v>1</v>
      </c>
      <c r="T32">
        <f>IF(I32=[1]Sheet1!I32,1,0)</f>
        <v>1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1</v>
      </c>
      <c r="Q33">
        <f>IF(F33=[1]Sheet1!F33,1,0)</f>
        <v>1</v>
      </c>
      <c r="R33">
        <f>IF(G33=[1]Sheet1!G33,1,0)</f>
        <v>1</v>
      </c>
      <c r="S33">
        <f>IF(H33=[1]Sheet1!H33,1,0)</f>
        <v>1</v>
      </c>
      <c r="T33">
        <f>IF(I33=[1]Sheet1!I33,1,0)</f>
        <v>1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1</v>
      </c>
      <c r="Q34">
        <f>IF(F34=[1]Sheet1!F34,1,0)</f>
        <v>1</v>
      </c>
      <c r="R34">
        <f>IF(G34=[1]Sheet1!G34,1,0)</f>
        <v>1</v>
      </c>
      <c r="S34">
        <f>IF(H34=[1]Sheet1!H34,1,0)</f>
        <v>1</v>
      </c>
      <c r="T34">
        <f>IF(I34=[1]Sheet1!I34,1,0)</f>
        <v>1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1</v>
      </c>
      <c r="Q35">
        <f>IF(F35=[1]Sheet1!F35,1,0)</f>
        <v>1</v>
      </c>
      <c r="R35">
        <f>IF(G35=[1]Sheet1!G35,1,0)</f>
        <v>1</v>
      </c>
      <c r="S35">
        <f>IF(H35=[1]Sheet1!H35,1,0)</f>
        <v>1</v>
      </c>
      <c r="T35">
        <f>IF(I35=[1]Sheet1!I35,1,0)</f>
        <v>1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1</v>
      </c>
      <c r="Q36">
        <f>IF(F36=[1]Sheet1!F36,1,0)</f>
        <v>1</v>
      </c>
      <c r="R36">
        <f>IF(G36=[1]Sheet1!G36,1,0)</f>
        <v>1</v>
      </c>
      <c r="S36">
        <f>IF(H36=[1]Sheet1!H36,1,0)</f>
        <v>1</v>
      </c>
      <c r="T36">
        <f>IF(I36=[1]Sheet1!I36,1,0)</f>
        <v>1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1</v>
      </c>
      <c r="Q37">
        <f>IF(F37=[1]Sheet1!F37,1,0)</f>
        <v>1</v>
      </c>
      <c r="R37">
        <f>IF(G37=[1]Sheet1!G37,1,0)</f>
        <v>1</v>
      </c>
      <c r="S37">
        <f>IF(H37=[1]Sheet1!H37,1,0)</f>
        <v>1</v>
      </c>
      <c r="T37">
        <f>IF(I37=[1]Sheet1!I37,1,0)</f>
        <v>1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1</v>
      </c>
      <c r="Q38">
        <f>IF(F38=[1]Sheet1!F38,1,0)</f>
        <v>1</v>
      </c>
      <c r="R38">
        <f>IF(G38=[1]Sheet1!G38,1,0)</f>
        <v>1</v>
      </c>
      <c r="S38">
        <f>IF(H38=[1]Sheet1!H38,1,0)</f>
        <v>1</v>
      </c>
      <c r="T38">
        <f>IF(I38=[1]Sheet1!I38,1,0)</f>
        <v>1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1</v>
      </c>
      <c r="Q40">
        <f>IF(F40=[1]Sheet1!F40,1,0)</f>
        <v>1</v>
      </c>
      <c r="R40">
        <f>IF(G40=[1]Sheet1!G40,1,0)</f>
        <v>1</v>
      </c>
      <c r="S40">
        <f>IF(H40=[1]Sheet1!H40,1,0)</f>
        <v>1</v>
      </c>
      <c r="T40">
        <f>IF(I40=[1]Sheet1!I40,1,0)</f>
        <v>1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1</v>
      </c>
      <c r="Q41">
        <f>IF(F41=[1]Sheet1!F41,1,0)</f>
        <v>1</v>
      </c>
      <c r="R41">
        <f>IF(G41=[1]Sheet1!G41,1,0)</f>
        <v>1</v>
      </c>
      <c r="S41">
        <f>IF(H41=[1]Sheet1!H41,1,0)</f>
        <v>1</v>
      </c>
      <c r="T41">
        <f>IF(I41=[1]Sheet1!I41,1,0)</f>
        <v>1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1</v>
      </c>
      <c r="Q42">
        <f>IF(F42=[1]Sheet1!F42,1,0)</f>
        <v>1</v>
      </c>
      <c r="R42">
        <f>IF(G42=[1]Sheet1!G42,1,0)</f>
        <v>1</v>
      </c>
      <c r="S42">
        <f>IF(H42=[1]Sheet1!H42,1,0)</f>
        <v>1</v>
      </c>
      <c r="T42">
        <f>IF(I42=[1]Sheet1!I42,1,0)</f>
        <v>1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1</v>
      </c>
      <c r="Q43">
        <f>IF(F43=[1]Sheet1!F43,1,0)</f>
        <v>1</v>
      </c>
      <c r="R43">
        <f>IF(G43=[1]Sheet1!G43,1,0)</f>
        <v>1</v>
      </c>
      <c r="S43">
        <f>IF(H43=[1]Sheet1!H43,1,0)</f>
        <v>1</v>
      </c>
      <c r="T43">
        <f>IF(I43=[1]Sheet1!I43,1,0)</f>
        <v>1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1</v>
      </c>
      <c r="Q44">
        <f>IF(F44=[1]Sheet1!F44,1,0)</f>
        <v>1</v>
      </c>
      <c r="R44">
        <f>IF(G44=[1]Sheet1!G44,1,0)</f>
        <v>1</v>
      </c>
      <c r="S44">
        <f>IF(H44=[1]Sheet1!H44,1,0)</f>
        <v>1</v>
      </c>
      <c r="T44">
        <f>IF(I44=[1]Sheet1!I44,1,0)</f>
        <v>1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1</v>
      </c>
      <c r="Q45">
        <f>IF(F45=[1]Sheet1!F45,1,0)</f>
        <v>1</v>
      </c>
      <c r="R45">
        <f>IF(G45=[1]Sheet1!G45,1,0)</f>
        <v>1</v>
      </c>
      <c r="S45">
        <f>IF(H45=[1]Sheet1!H45,1,0)</f>
        <v>1</v>
      </c>
      <c r="T45">
        <f>IF(I45=[1]Sheet1!I45,1,0)</f>
        <v>1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1</v>
      </c>
      <c r="Q46">
        <f>IF(F46=[1]Sheet1!F46,1,0)</f>
        <v>1</v>
      </c>
      <c r="R46">
        <f>IF(G46=[1]Sheet1!G46,1,0)</f>
        <v>1</v>
      </c>
      <c r="S46">
        <f>IF(H46=[1]Sheet1!H46,1,0)</f>
        <v>1</v>
      </c>
      <c r="T46">
        <f>IF(I46=[1]Sheet1!I46,1,0)</f>
        <v>1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1</v>
      </c>
      <c r="Q47">
        <f>IF(F47=[1]Sheet1!F47,1,0)</f>
        <v>1</v>
      </c>
      <c r="R47">
        <f>IF(G47=[1]Sheet1!G47,1,0)</f>
        <v>1</v>
      </c>
      <c r="S47">
        <f>IF(H47=[1]Sheet1!H47,1,0)</f>
        <v>1</v>
      </c>
      <c r="T47">
        <f>IF(I47=[1]Sheet1!I47,1,0)</f>
        <v>1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1</v>
      </c>
      <c r="Q48">
        <f>IF(F48=[1]Sheet1!F48,1,0)</f>
        <v>1</v>
      </c>
      <c r="R48">
        <f>IF(G48=[1]Sheet1!G48,1,0)</f>
        <v>1</v>
      </c>
      <c r="S48">
        <f>IF(H48=[1]Sheet1!H48,1,0)</f>
        <v>1</v>
      </c>
      <c r="T48">
        <f>IF(I48=[1]Sheet1!I48,1,0)</f>
        <v>1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1</v>
      </c>
      <c r="Q49">
        <f>IF(F49=[1]Sheet1!F49,1,0)</f>
        <v>1</v>
      </c>
      <c r="R49">
        <f>IF(G49=[1]Sheet1!G49,1,0)</f>
        <v>1</v>
      </c>
      <c r="S49">
        <f>IF(H49=[1]Sheet1!H49,1,0)</f>
        <v>1</v>
      </c>
      <c r="T49">
        <f>IF(I49=[1]Sheet1!I49,1,0)</f>
        <v>1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1</v>
      </c>
      <c r="Q50">
        <f>IF(F50=[1]Sheet1!F50,1,0)</f>
        <v>1</v>
      </c>
      <c r="R50">
        <f>IF(G50=[1]Sheet1!G50,1,0)</f>
        <v>1</v>
      </c>
      <c r="S50">
        <f>IF(H50=[1]Sheet1!H50,1,0)</f>
        <v>1</v>
      </c>
      <c r="T50">
        <f>IF(I50=[1]Sheet1!I50,1,0)</f>
        <v>1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1</v>
      </c>
      <c r="Q51">
        <f>IF(F51=[1]Sheet1!F51,1,0)</f>
        <v>1</v>
      </c>
      <c r="R51">
        <f>IF(G51=[1]Sheet1!G51,1,0)</f>
        <v>1</v>
      </c>
      <c r="S51">
        <f>IF(H51=[1]Sheet1!H51,1,0)</f>
        <v>1</v>
      </c>
      <c r="T51">
        <f>IF(I51=[1]Sheet1!I51,1,0)</f>
        <v>1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1</v>
      </c>
      <c r="Q52">
        <f>IF(F52=[1]Sheet1!F52,1,0)</f>
        <v>1</v>
      </c>
      <c r="R52">
        <f>IF(G52=[1]Sheet1!G52,1,0)</f>
        <v>1</v>
      </c>
      <c r="S52">
        <f>IF(H52=[1]Sheet1!H52,1,0)</f>
        <v>1</v>
      </c>
      <c r="T52">
        <f>IF(I52=[1]Sheet1!I52,1,0)</f>
        <v>1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1</v>
      </c>
      <c r="Q54">
        <f>IF(F54=[1]Sheet1!F54,1,0)</f>
        <v>1</v>
      </c>
      <c r="R54">
        <f>IF(G54=[1]Sheet1!G54,1,0)</f>
        <v>1</v>
      </c>
      <c r="S54">
        <f>IF(H54=[1]Sheet1!H54,1,0)</f>
        <v>1</v>
      </c>
      <c r="T54">
        <f>IF(I54=[1]Sheet1!I54,1,0)</f>
        <v>1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1</v>
      </c>
      <c r="Q55">
        <f>IF(F55=[1]Sheet1!F55,1,0)</f>
        <v>1</v>
      </c>
      <c r="R55">
        <f>IF(G55=[1]Sheet1!G55,1,0)</f>
        <v>1</v>
      </c>
      <c r="S55">
        <f>IF(H55=[1]Sheet1!H55,1,0)</f>
        <v>1</v>
      </c>
      <c r="T55">
        <f>IF(I55=[1]Sheet1!I55,1,0)</f>
        <v>1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1</v>
      </c>
      <c r="Q56">
        <f>IF(F56=[1]Sheet1!F56,1,0)</f>
        <v>1</v>
      </c>
      <c r="R56">
        <f>IF(G56=[1]Sheet1!G56,1,0)</f>
        <v>1</v>
      </c>
      <c r="S56">
        <f>IF(H56=[1]Sheet1!H56,1,0)</f>
        <v>1</v>
      </c>
      <c r="T56">
        <f>IF(I56=[1]Sheet1!I56,1,0)</f>
        <v>1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1</v>
      </c>
      <c r="Q57">
        <f>IF(F57=[1]Sheet1!F57,1,0)</f>
        <v>1</v>
      </c>
      <c r="R57">
        <f>IF(G57=[1]Sheet1!G57,1,0)</f>
        <v>1</v>
      </c>
      <c r="S57">
        <f>IF(H57=[1]Sheet1!H57,1,0)</f>
        <v>1</v>
      </c>
      <c r="T57">
        <f>IF(I57=[1]Sheet1!I57,1,0)</f>
        <v>1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1</v>
      </c>
      <c r="Q58">
        <f>IF(F58=[1]Sheet1!F58,1,0)</f>
        <v>1</v>
      </c>
      <c r="R58">
        <f>IF(G58=[1]Sheet1!G58,1,0)</f>
        <v>1</v>
      </c>
      <c r="S58">
        <f>IF(H58=[1]Sheet1!H58,1,0)</f>
        <v>1</v>
      </c>
      <c r="T58">
        <f>IF(I58=[1]Sheet1!I58,1,0)</f>
        <v>1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1</v>
      </c>
      <c r="Q59">
        <f>IF(F59=[1]Sheet1!F59,1,0)</f>
        <v>1</v>
      </c>
      <c r="R59">
        <f>IF(G59=[1]Sheet1!G59,1,0)</f>
        <v>1</v>
      </c>
      <c r="S59">
        <f>IF(H59=[1]Sheet1!H59,1,0)</f>
        <v>1</v>
      </c>
      <c r="T59">
        <f>IF(I59=[1]Sheet1!I59,1,0)</f>
        <v>1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1</v>
      </c>
      <c r="Q60">
        <f>IF(F60=[1]Sheet1!F60,1,0)</f>
        <v>1</v>
      </c>
      <c r="R60">
        <f>IF(G60=[1]Sheet1!G60,1,0)</f>
        <v>1</v>
      </c>
      <c r="S60">
        <f>IF(H60=[1]Sheet1!H60,1,0)</f>
        <v>1</v>
      </c>
      <c r="T60">
        <f>IF(I60=[1]Sheet1!I60,1,0)</f>
        <v>1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1</v>
      </c>
      <c r="Q61">
        <f>IF(F61=[1]Sheet1!F61,1,0)</f>
        <v>1</v>
      </c>
      <c r="R61">
        <f>IF(G61=[1]Sheet1!G61,1,0)</f>
        <v>1</v>
      </c>
      <c r="S61">
        <f>IF(H61=[1]Sheet1!H61,1,0)</f>
        <v>1</v>
      </c>
      <c r="T61">
        <f>IF(I61=[1]Sheet1!I61,1,0)</f>
        <v>1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1</v>
      </c>
      <c r="Q62">
        <f>IF(F62=[1]Sheet1!F62,1,0)</f>
        <v>1</v>
      </c>
      <c r="R62">
        <f>IF(G62=[1]Sheet1!G62,1,0)</f>
        <v>1</v>
      </c>
      <c r="S62">
        <f>IF(H62=[1]Sheet1!H62,1,0)</f>
        <v>1</v>
      </c>
      <c r="T62">
        <f>IF(I62=[1]Sheet1!I62,1,0)</f>
        <v>1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1</v>
      </c>
      <c r="Q63">
        <f>IF(F63=[1]Sheet1!F63,1,0)</f>
        <v>1</v>
      </c>
      <c r="R63">
        <f>IF(G63=[1]Sheet1!G63,1,0)</f>
        <v>1</v>
      </c>
      <c r="S63">
        <f>IF(H63=[1]Sheet1!H63,1,0)</f>
        <v>1</v>
      </c>
      <c r="T63">
        <f>IF(I63=[1]Sheet1!I63,1,0)</f>
        <v>1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1</v>
      </c>
      <c r="Q64">
        <f>IF(F64=[1]Sheet1!F64,1,0)</f>
        <v>1</v>
      </c>
      <c r="R64">
        <f>IF(G64=[1]Sheet1!G64,1,0)</f>
        <v>1</v>
      </c>
      <c r="S64">
        <f>IF(H64=[1]Sheet1!H64,1,0)</f>
        <v>1</v>
      </c>
      <c r="T64">
        <f>IF(I64=[1]Sheet1!I64,1,0)</f>
        <v>1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1</v>
      </c>
      <c r="Q65">
        <f>IF(F65=[1]Sheet1!F65,1,0)</f>
        <v>1</v>
      </c>
      <c r="R65">
        <f>IF(G65=[1]Sheet1!G65,1,0)</f>
        <v>1</v>
      </c>
      <c r="S65">
        <f>IF(H65=[1]Sheet1!H65,1,0)</f>
        <v>1</v>
      </c>
      <c r="T65">
        <f>IF(I65=[1]Sheet1!I65,1,0)</f>
        <v>1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2026-03-16T21:44:05Z</dcterms:modified>
</cp:coreProperties>
</file>