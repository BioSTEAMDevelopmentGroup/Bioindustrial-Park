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F5BD481-464D-4160-B6D3-98D4223FAAF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<sst xmlns="http://schemas.openxmlformats.org/spreadsheetml/2006/main" count="455" uniqueCount="194">
  <si>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</si>
  <si>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</si>
  <si>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</si>
  <si>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</si>
  <si>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</si>
  <si>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</si>
  <si>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</si>
  <si>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</si>
  <si>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</si>
  <si>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</si>
  <si>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</si>
  <si>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</si>
  <si>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</si>
  <si>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</si>
  <si>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</si>
  <si>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</si>
  <si>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</si>
  <si>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</si>
  <si>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</si>
  <si>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</si>
  <si>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</si>
  <si>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</si>
  <si>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</si>
  <si>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</si>
  <si>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</si>
  <si>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</si>
  <si>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</si>
  <si>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</si>
  <si>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</si>
  <si>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</si>
  <si>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</si>
  <si>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</si>
  <si>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</si>
  <si>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</si>
  <si>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</si>
  <si>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</si>
  <si>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</si>
  <si>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</si>
  <si>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</si>
  <si>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</si>
  <si>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</si>
  <si>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</si>
  <si>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</si>
  <si>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</si>
  <si>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</si>
  <si>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</si>
  <si>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</si>
  <si>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</si>
  <si>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</si>
  <si>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</si>
  <si>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</si>
  <si>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</si>
  <si>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</si>
  <si>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</si>
  <si>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</si>
  <si>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</si>
  <si>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V406.nsk_kinetic_model._te.k_2 = x</t>
  </si>
  <si>
    <t>V406.nsk_kinetic_model._te.k_1e = x</t>
  </si>
  <si>
    <t>V406.nsk_kinetic_model._te.k_1h = x</t>
  </si>
  <si>
    <t>V406.nsk_kinetic_model._te.k_1ie = x</t>
  </si>
  <si>
    <t>V406.nsk_kinetic_model._te.k_1ia = x</t>
  </si>
  <si>
    <t>V406.nsk_kinetic_model._te.k_1ii = x</t>
  </si>
  <si>
    <t>V406.nsk_kinetic_model._te.k_1l = x</t>
  </si>
  <si>
    <t>V406.nsk_kinetic_model._te.k_3 = x</t>
  </si>
  <si>
    <t>V406.nsk_kinetic_model._te.k_4 = x</t>
  </si>
  <si>
    <t>g_per_l_per_h</t>
  </si>
  <si>
    <t>triangular</t>
  </si>
  <si>
    <t>g_per_l</t>
  </si>
  <si>
    <t>V406.nsk_kinetic_model._te.k_4ie = x</t>
  </si>
  <si>
    <t>V406.nsk_kinetic_model._te.k_4ia = x</t>
  </si>
  <si>
    <t>V406.nsk_kinetic_model._te.k_4ii = x</t>
  </si>
  <si>
    <t>V406.nsk_kinetic_model._te.k_5 = x</t>
  </si>
  <si>
    <t>V406.nsk_kinetic_model._te.k_5e = x</t>
  </si>
  <si>
    <t>V406.nsk_kinetic_model._te.k_6 = x</t>
  </si>
  <si>
    <t>V406.nsk_kinetic_model._te.k_6r = x</t>
  </si>
  <si>
    <t>V406.nsk_kinetic_model._te.k_7 = x</t>
  </si>
  <si>
    <t>V406.nsk_kinetic_model._te.k_7ie = x</t>
  </si>
  <si>
    <t>V406.nsk_kinetic_model._te.k_7ia = x</t>
  </si>
  <si>
    <t>V406.nsk_kinetic_model._te.k_7ii = x</t>
  </si>
  <si>
    <t>V406.nsk_kinetic_model._te.k_8 = x</t>
  </si>
  <si>
    <t>V406.nsk_kinetic_model._te.k_9 = x</t>
  </si>
  <si>
    <t>V406.nsk_kinetic_model._te.k_9e = x</t>
  </si>
  <si>
    <t>V406.nsk_kinetic_model._te.k_9c = x</t>
  </si>
  <si>
    <t>V406.nsk_kinetic_model._te.k_10 = x</t>
  </si>
  <si>
    <t>V406.nsk_kinetic_model._te.k_11 = x</t>
  </si>
  <si>
    <t>lime.price = x</t>
  </si>
  <si>
    <t>sulfuric_acid.price = x</t>
  </si>
  <si>
    <t>V406.nsk_kinetic_model._te.K_1l = x</t>
  </si>
  <si>
    <t>V406.nsk_kinetic_model._te.K_1h = x</t>
  </si>
  <si>
    <t>V406.nsk_kinetic_model._te.K_1i = x</t>
  </si>
  <si>
    <t>V406.nsk_kinetic_model._te.K_1e = x</t>
  </si>
  <si>
    <t>V406.nsk_kinetic_model._te.K_2 = x</t>
  </si>
  <si>
    <t>V406.nsk_kinetic_model._te.K_2i = x</t>
  </si>
  <si>
    <t>V406.nsk_kinetic_model._te.K_3 = x</t>
  </si>
  <si>
    <t>V406.nsk_kinetic_model._te.K_4 = x</t>
  </si>
  <si>
    <t>V406.nsk_kinetic_model._te.K_5 = x</t>
  </si>
  <si>
    <t>V406.nsk_kinetic_model._te.K_5e = x</t>
  </si>
  <si>
    <t>V406.nsk_kinetic_model._te.K_5i = x</t>
  </si>
  <si>
    <t>V406.nsk_kinetic_model._te.K_6 = x</t>
  </si>
  <si>
    <t>V406.nsk_kinetic_model._te.K_6e = x</t>
  </si>
  <si>
    <t>V406.nsk_kinetic_model._te.K_7 = x</t>
  </si>
  <si>
    <t>V406.nsk_kinetic_model._te.K_9 = x</t>
  </si>
  <si>
    <t>V406.nsk_kinetic_model._te.K_9e = x</t>
  </si>
  <si>
    <t>V406.nsk_kinetic_model._te.K_9i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</si>
  <si>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</si>
  <si>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</si>
  <si>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</si>
  <si>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</si>
  <si>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</si>
  <si>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</si>
  <si>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</si>
  <si>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</si>
  <si>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</si>
  <si>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</si>
  <si>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</si>
  <si>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</si>
  <si>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</si>
  <si>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</si>
  <si>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</si>
  <si>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</si>
  <si>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</si>
  <si>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</si>
  <si>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</si>
  <si>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</si>
  <si>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</si>
  <si>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</si>
  <si>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</si>
  <si>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</si>
  <si>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</si>
  <si>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</si>
  <si>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</si>
  <si>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</si>
  <si>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</si>
  <si>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</si>
  <si>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</si>
  <si>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</si>
  <si>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</si>
  <si>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</si>
  <si>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</si>
  <si>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</si>
  <si>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</si>
  <si>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</si>
  <si>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</si>
  <si>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</si>
  <si>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</si>
  <si>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</si>
  <si>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</si>
  <si>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</si>
  <si>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</si>
  <si>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</si>
  <si>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</si>
  <si>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</si>
  <si>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</si>
  <si>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</si>
  <si>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</si>
  <si>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</si>
  <si>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</si>
  <si>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</si>
  <si>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</si>
  <si>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V406.nsk_kinetic_model._te.k_13 = x</t>
  </si>
  <si>
    <t>K_13</t>
  </si>
  <si>
    <t>V406.nsk_kinetic_model._te.K_13 = x</t>
  </si>
  <si>
    <t>._k_14</t>
  </si>
  <si>
    <t>V406.nsk_kinetic_model._te.k_14 = x</t>
  </si>
  <si>
    <t>K_14</t>
  </si>
  <si>
    <t>V406.nsk_kinetic_model._te.K_14 = x</t>
  </si>
  <si>
    <t>._k_15</t>
  </si>
  <si>
    <t>V406.nsk_kinetic_model._te.k_15 = x</t>
  </si>
  <si>
    <t>K_15</t>
  </si>
  <si>
    <t>V406.nsk_kinetic_model._te.K_15 = x</t>
  </si>
  <si>
    <t>._k_16</t>
  </si>
  <si>
    <t>V406.nsk_kinetic_model._te.k_16 = x</t>
  </si>
  <si>
    <t>._k_16r</t>
  </si>
  <si>
    <t>V406.nsk_kinetic_model._te.k_16r = x</t>
  </si>
  <si>
    <t>K_16</t>
  </si>
  <si>
    <t>V406.nsk_kinetic_model._te.K_16 = x</t>
  </si>
  <si>
    <t>K_16i</t>
  </si>
  <si>
    <t>V406.nsk_kinetic_model._te.K_16i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</si>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</sst>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Uniform</v>
          </cell>
          <cell r="G13">
            <v>8.2840000000000011E-2</v>
          </cell>
          <cell r="I13">
            <v>0.12426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4"/>
  <sheetViews>
    <sheetView tabSelected="1" zoomScale="70" zoomScaleNormal="70" workbookViewId="0">
      <selection activeCell="H15" sqref="H15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6" t="s">
        <v>35</v>
      </c>
      <c r="B13" s="6" t="s">
        <v>7</v>
      </c>
      <c r="C13" s="6" t="s">
        <v>20</v>
      </c>
      <c r="D13" s="6" t="s">
        <v>10</v>
      </c>
      <c r="E13" s="6">
        <v>0.28599999999999998</v>
      </c>
      <c r="F13" s="6" t="s">
        <v>27</v>
      </c>
      <c r="G13" s="6">
        <v>0.17499999999999999</v>
      </c>
      <c r="H13" s="6">
        <v>0.28599999999999998</v>
      </c>
      <c r="I13" s="6">
        <v>0.315</v>
      </c>
      <c r="J13" s="6"/>
      <c r="K13" s="6" t="s">
        <v>85</v>
      </c>
      <c r="P13">
        <f>IF(E13=[1]Sheet1!E13,1,0)</f>
        <v>0</v>
      </c>
      <c r="Q13">
        <f>IF(F13=[1]Sheet1!F13,1,0)</f>
        <v>0</v>
      </c>
      <c r="R13">
        <f>IF(G13=[1]Sheet1!G13,1,0)</f>
        <v>0</v>
      </c>
      <c r="S13">
        <f>IF(H13=[1]Sheet1!H13,1,0)</f>
        <v>0</v>
      </c>
      <c r="T13">
        <f>IF(I13=[1]Sheet1!I13,1,0)</f>
        <v>0</v>
      </c>
    </row>
    <row r="14" spans="1:20" x14ac:dyDescent="0.35">
      <c r="A14" s="6" t="s">
        <v>36</v>
      </c>
      <c r="B14" s="6" t="s">
        <v>7</v>
      </c>
      <c r="C14" s="6" t="s">
        <v>20</v>
      </c>
      <c r="D14" s="6" t="s">
        <v>10</v>
      </c>
      <c r="E14" s="6">
        <v>0.10355</v>
      </c>
      <c r="F14" s="6" t="s">
        <v>18</v>
      </c>
      <c r="G14" s="6">
        <f>E14*0.8</f>
        <v>8.2840000000000011E-2</v>
      </c>
      <c r="H14" s="6"/>
      <c r="I14" s="6">
        <f>E14*1.2</f>
        <v>0.12426</v>
      </c>
      <c r="J14" s="6"/>
      <c r="K14" s="6" t="s">
        <v>86</v>
      </c>
      <c r="P14">
        <f>IF(E14=[1]Sheet1!E14,1,0)</f>
        <v>0</v>
      </c>
      <c r="Q14">
        <f>IF(F14=[1]Sheet1!F14,1,0)</f>
        <v>1</v>
      </c>
      <c r="R14">
        <f>IF(G14=[1]Sheet1!G14,1,0)</f>
        <v>0</v>
      </c>
      <c r="S14">
        <f>IF(H14=[1]Sheet1!H14,1,0)</f>
        <v>1</v>
      </c>
      <c r="T14">
        <f>IF(I14=[1]Sheet1!I14,1,0)</f>
        <v>0</v>
      </c>
    </row>
    <row r="15" spans="1:20" x14ac:dyDescent="0.35">
      <c r="A15" s="3" t="s">
        <v>31</v>
      </c>
      <c r="B15" s="3" t="s">
        <v>7</v>
      </c>
      <c r="C15" s="3" t="s">
        <v>20</v>
      </c>
      <c r="D15" s="3" t="s">
        <v>8</v>
      </c>
      <c r="E15" s="3">
        <v>0.21</v>
      </c>
      <c r="F15" s="3" t="s">
        <v>18</v>
      </c>
      <c r="G15" s="3">
        <v>0.15</v>
      </c>
      <c r="H15" s="3"/>
      <c r="I15" s="3">
        <v>0.28000000000000003</v>
      </c>
      <c r="J15" s="3"/>
      <c r="K15" s="3" t="s">
        <v>34</v>
      </c>
      <c r="P15">
        <f>IF(E15=[1]Sheet1!E15,1,0)</f>
        <v>0</v>
      </c>
      <c r="Q15">
        <f>IF(F15=[1]Sheet1!F15,1,0)</f>
        <v>0</v>
      </c>
      <c r="R15">
        <f>IF(G15=[1]Sheet1!G15,1,0)</f>
        <v>0</v>
      </c>
      <c r="S15">
        <f>IF(H15=[1]Sheet1!H15,1,0)</f>
        <v>0</v>
      </c>
      <c r="T15">
        <f>IF(I15=[1]Sheet1!I15,1,0)</f>
        <v>0</v>
      </c>
    </row>
    <row r="16" spans="1:20" x14ac:dyDescent="0.35">
      <c r="A16" s="3" t="s">
        <v>32</v>
      </c>
      <c r="B16" s="3" t="s">
        <v>7</v>
      </c>
      <c r="C16" s="3" t="s">
        <v>20</v>
      </c>
      <c r="D16" s="3" t="s">
        <v>8</v>
      </c>
      <c r="E16" s="3">
        <v>0.15</v>
      </c>
      <c r="F16" s="3" t="s">
        <v>18</v>
      </c>
      <c r="G16" s="3">
        <f>0.8*E16</f>
        <v>0.12</v>
      </c>
      <c r="H16" s="3"/>
      <c r="I16" s="3">
        <f>1.2*E16</f>
        <v>0.18</v>
      </c>
      <c r="J16" s="3"/>
      <c r="K16" s="3" t="s">
        <v>33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185</v>
      </c>
      <c r="B17" s="3" t="s">
        <v>39</v>
      </c>
      <c r="C17" s="3" t="s">
        <v>21</v>
      </c>
      <c r="D17" s="3" t="s">
        <v>192</v>
      </c>
      <c r="E17" s="3">
        <v>0.72</v>
      </c>
      <c r="F17" s="3" t="s">
        <v>27</v>
      </c>
      <c r="G17" s="3">
        <f>0.8*H17</f>
        <v>0.57599999999999996</v>
      </c>
      <c r="H17" s="3">
        <f>E17</f>
        <v>0.72</v>
      </c>
      <c r="I17" s="3">
        <f>1.2*H17</f>
        <v>0.86399999999999999</v>
      </c>
      <c r="J17" s="3"/>
      <c r="K17" s="3" t="s">
        <v>193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38</v>
      </c>
      <c r="B18" s="3" t="s">
        <v>39</v>
      </c>
      <c r="C18" s="3" t="s">
        <v>21</v>
      </c>
      <c r="D18" s="3" t="s">
        <v>40</v>
      </c>
      <c r="E18" s="3">
        <v>56972</v>
      </c>
      <c r="F18" s="3" t="s">
        <v>27</v>
      </c>
      <c r="G18" s="3">
        <f>0.8*H18</f>
        <v>45577.600000000006</v>
      </c>
      <c r="H18" s="3">
        <f>E18</f>
        <v>56972</v>
      </c>
      <c r="I18" s="3">
        <f>1.2*H18</f>
        <v>68366.399999999994</v>
      </c>
      <c r="J18" s="3"/>
      <c r="K18" s="3" t="s">
        <v>41</v>
      </c>
      <c r="P18">
        <f>IF(E18=[1]Sheet1!E18,1,0)</f>
        <v>0</v>
      </c>
      <c r="Q18">
        <f>IF(F18=[1]Sheet1!F18,1,0)</f>
        <v>1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187</v>
      </c>
      <c r="B19" s="3" t="s">
        <v>188</v>
      </c>
      <c r="C19" s="3" t="s">
        <v>21</v>
      </c>
      <c r="D19" s="3" t="s">
        <v>12</v>
      </c>
      <c r="E19" s="3">
        <v>2</v>
      </c>
      <c r="F19" s="3" t="s">
        <v>18</v>
      </c>
      <c r="G19" s="3">
        <v>1</v>
      </c>
      <c r="H19" s="3"/>
      <c r="I19" s="3">
        <v>3</v>
      </c>
      <c r="J19" s="3"/>
      <c r="K19" s="3" t="s">
        <v>189</v>
      </c>
      <c r="P19">
        <f>IF(E19=[1]Sheet1!E19,1,0)</f>
        <v>0</v>
      </c>
      <c r="Q19">
        <f>IF(F19=[1]Sheet1!F19,1,0)</f>
        <v>0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52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54</v>
      </c>
      <c r="P20">
        <f>IF(E20=[1]Sheet1!E20,1,0)</f>
        <v>0</v>
      </c>
      <c r="Q20">
        <f>IF(F20=[1]Sheet1!F20,1,0)</f>
        <v>1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121</v>
      </c>
      <c r="B22" s="3" t="s">
        <v>147</v>
      </c>
      <c r="C22" s="3" t="s">
        <v>21</v>
      </c>
      <c r="D22" s="3" t="s">
        <v>65</v>
      </c>
      <c r="E22" s="3">
        <v>1.43</v>
      </c>
      <c r="F22" s="3" t="s">
        <v>66</v>
      </c>
      <c r="G22" s="3">
        <v>1.1439999999999999</v>
      </c>
      <c r="H22" s="3">
        <v>1.43</v>
      </c>
      <c r="I22" s="3">
        <v>1.716</v>
      </c>
      <c r="J22" s="3"/>
      <c r="K22" s="3" t="s">
        <v>62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104</v>
      </c>
      <c r="B23" s="3" t="s">
        <v>147</v>
      </c>
      <c r="C23" s="3" t="s">
        <v>21</v>
      </c>
      <c r="D23" s="3" t="s">
        <v>67</v>
      </c>
      <c r="E23" s="3">
        <v>0.94</v>
      </c>
      <c r="F23" s="3" t="s">
        <v>66</v>
      </c>
      <c r="G23" s="3">
        <v>0.752</v>
      </c>
      <c r="H23" s="3">
        <v>0.94</v>
      </c>
      <c r="I23" s="3">
        <v>1.1279999999999999</v>
      </c>
      <c r="J23" s="3"/>
      <c r="K23" s="3" t="s">
        <v>87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122</v>
      </c>
      <c r="B24" s="3" t="s">
        <v>147</v>
      </c>
      <c r="C24" s="3" t="s">
        <v>21</v>
      </c>
      <c r="D24" s="3" t="s">
        <v>65</v>
      </c>
      <c r="E24" s="3">
        <v>0.58399999999999996</v>
      </c>
      <c r="F24" s="3" t="s">
        <v>66</v>
      </c>
      <c r="G24" s="3">
        <v>0.4672</v>
      </c>
      <c r="H24" s="3">
        <v>0.58399999999999996</v>
      </c>
      <c r="I24" s="3">
        <v>0.70079999999999998</v>
      </c>
      <c r="J24" s="3"/>
      <c r="K24" s="3" t="s">
        <v>58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105</v>
      </c>
      <c r="B25" s="3" t="s">
        <v>147</v>
      </c>
      <c r="C25" s="3" t="s">
        <v>21</v>
      </c>
      <c r="D25" s="3" t="s">
        <v>67</v>
      </c>
      <c r="E25" s="3">
        <v>1.1599999999999999E-2</v>
      </c>
      <c r="F25" s="3" t="s">
        <v>66</v>
      </c>
      <c r="G25" s="3">
        <v>9.2800000000000001E-3</v>
      </c>
      <c r="H25" s="3">
        <v>1.1599999999999999E-2</v>
      </c>
      <c r="I25" s="3">
        <v>1.3919999999999899E-2</v>
      </c>
      <c r="J25" s="3"/>
      <c r="K25" s="3" t="s">
        <v>88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123</v>
      </c>
      <c r="B26" s="3" t="s">
        <v>147</v>
      </c>
      <c r="C26" s="3" t="s">
        <v>21</v>
      </c>
      <c r="D26" s="3" t="s">
        <v>65</v>
      </c>
      <c r="E26" s="3">
        <v>47.1</v>
      </c>
      <c r="F26" s="3" t="s">
        <v>66</v>
      </c>
      <c r="G26" s="3">
        <v>37.68</v>
      </c>
      <c r="H26" s="3">
        <v>47.1</v>
      </c>
      <c r="I26" s="3">
        <v>56.52</v>
      </c>
      <c r="J26" s="3"/>
      <c r="K26" s="3" t="s">
        <v>57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106</v>
      </c>
      <c r="B27" s="3" t="s">
        <v>147</v>
      </c>
      <c r="C27" s="3" t="s">
        <v>21</v>
      </c>
      <c r="D27" s="3" t="s">
        <v>67</v>
      </c>
      <c r="E27" s="3">
        <v>14.2</v>
      </c>
      <c r="F27" s="3" t="s">
        <v>66</v>
      </c>
      <c r="G27" s="3">
        <v>11.36</v>
      </c>
      <c r="H27" s="3">
        <v>14.2</v>
      </c>
      <c r="I27" s="3">
        <v>17.04</v>
      </c>
      <c r="J27" s="3"/>
      <c r="K27" s="3" t="s">
        <v>89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107</v>
      </c>
      <c r="B28" s="3" t="s">
        <v>147</v>
      </c>
      <c r="C28" s="3" t="s">
        <v>21</v>
      </c>
      <c r="D28" s="3" t="s">
        <v>67</v>
      </c>
      <c r="E28" s="3">
        <v>0.12</v>
      </c>
      <c r="F28" s="3" t="s">
        <v>66</v>
      </c>
      <c r="G28" s="3">
        <v>9.6000000000000002E-2</v>
      </c>
      <c r="H28" s="3">
        <v>0.12</v>
      </c>
      <c r="I28" s="3">
        <v>0.14399999999999999</v>
      </c>
      <c r="J28" s="3"/>
      <c r="K28" s="3" t="s">
        <v>90</v>
      </c>
      <c r="P28">
        <f>IF(E28=[1]Sheet1!E28,1,0)</f>
        <v>1</v>
      </c>
      <c r="Q28">
        <f>IF(F28=[1]Sheet1!F28,1,0)</f>
        <v>1</v>
      </c>
      <c r="R28">
        <f>IF(G28=[1]Sheet1!G28,1,0)</f>
        <v>1</v>
      </c>
      <c r="S28">
        <f>IF(H28=[1]Sheet1!H28,1,0)</f>
        <v>1</v>
      </c>
      <c r="T28">
        <f>IF(I28=[1]Sheet1!I28,1,0)</f>
        <v>1</v>
      </c>
    </row>
    <row r="29" spans="1:20" x14ac:dyDescent="0.35">
      <c r="A29" s="3" t="s">
        <v>124</v>
      </c>
      <c r="B29" s="3" t="s">
        <v>147</v>
      </c>
      <c r="C29" s="3" t="s">
        <v>21</v>
      </c>
      <c r="D29" s="3" t="s">
        <v>65</v>
      </c>
      <c r="E29" s="3">
        <v>0.04</v>
      </c>
      <c r="F29" s="3" t="s">
        <v>66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59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125</v>
      </c>
      <c r="B30" s="3" t="s">
        <v>147</v>
      </c>
      <c r="C30" s="3" t="s">
        <v>21</v>
      </c>
      <c r="D30" s="3" t="s">
        <v>65</v>
      </c>
      <c r="E30" s="3">
        <v>0.12</v>
      </c>
      <c r="F30" s="3" t="s">
        <v>66</v>
      </c>
      <c r="G30" s="3">
        <v>9.6000000000000002E-2</v>
      </c>
      <c r="H30" s="3">
        <v>0.12</v>
      </c>
      <c r="I30" s="3">
        <v>0.14399999999999999</v>
      </c>
      <c r="J30" s="3"/>
      <c r="K30" s="3" t="s">
        <v>60</v>
      </c>
      <c r="P30">
        <f>IF(E30=[1]Sheet1!E30,1,0)</f>
        <v>0</v>
      </c>
      <c r="Q30">
        <f>IF(F30=[1]Sheet1!F30,1,0)</f>
        <v>1</v>
      </c>
      <c r="R30">
        <f>IF(G30=[1]Sheet1!G30,1,0)</f>
        <v>0</v>
      </c>
      <c r="S30">
        <f>IF(H30=[1]Sheet1!H30,1,0)</f>
        <v>0</v>
      </c>
      <c r="T30">
        <f>IF(I30=[1]Sheet1!I30,1,0)</f>
        <v>0</v>
      </c>
    </row>
    <row r="31" spans="1:20" x14ac:dyDescent="0.35">
      <c r="A31" s="3" t="s">
        <v>126</v>
      </c>
      <c r="B31" s="3" t="s">
        <v>147</v>
      </c>
      <c r="C31" s="3" t="s">
        <v>21</v>
      </c>
      <c r="D31" s="3" t="s">
        <v>65</v>
      </c>
      <c r="E31" s="3">
        <v>0.04</v>
      </c>
      <c r="F31" s="3" t="s">
        <v>66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61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127</v>
      </c>
      <c r="B32" s="3" t="s">
        <v>148</v>
      </c>
      <c r="C32" s="3" t="s">
        <v>21</v>
      </c>
      <c r="D32" s="3" t="s">
        <v>65</v>
      </c>
      <c r="E32" s="3">
        <v>0.501</v>
      </c>
      <c r="F32" s="3" t="s">
        <v>66</v>
      </c>
      <c r="G32" s="3">
        <v>0.40079999999999999</v>
      </c>
      <c r="H32" s="3">
        <v>0.501</v>
      </c>
      <c r="I32" s="3">
        <v>0.60119999999999996</v>
      </c>
      <c r="J32" s="3"/>
      <c r="K32" s="3" t="s">
        <v>56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108</v>
      </c>
      <c r="B33" s="3" t="s">
        <v>148</v>
      </c>
      <c r="C33" s="3" t="s">
        <v>21</v>
      </c>
      <c r="D33" s="3" t="s">
        <v>67</v>
      </c>
      <c r="E33" s="5">
        <v>2.0000000000000002E-5</v>
      </c>
      <c r="F33" s="3" t="s">
        <v>66</v>
      </c>
      <c r="G33" s="5">
        <v>1.5999999999999999E-5</v>
      </c>
      <c r="H33" s="5">
        <v>2.0000000000000002E-5</v>
      </c>
      <c r="I33" s="5">
        <v>2.4000000000000001E-5</v>
      </c>
      <c r="J33" s="3"/>
      <c r="K33" s="3" t="s">
        <v>91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109</v>
      </c>
      <c r="B34" s="3" t="s">
        <v>148</v>
      </c>
      <c r="C34" s="3" t="s">
        <v>21</v>
      </c>
      <c r="D34" s="3" t="s">
        <v>67</v>
      </c>
      <c r="E34" s="3">
        <v>0.10100000000000001</v>
      </c>
      <c r="F34" s="3" t="s">
        <v>66</v>
      </c>
      <c r="G34" s="3">
        <v>8.0799999999999997E-2</v>
      </c>
      <c r="H34" s="3">
        <v>0.10100000000000001</v>
      </c>
      <c r="I34" s="3">
        <v>0.1212</v>
      </c>
      <c r="J34" s="3"/>
      <c r="K34" s="3" t="s">
        <v>92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128</v>
      </c>
      <c r="B35" s="3" t="s">
        <v>149</v>
      </c>
      <c r="C35" s="3" t="s">
        <v>21</v>
      </c>
      <c r="D35" s="3" t="s">
        <v>65</v>
      </c>
      <c r="E35" s="3">
        <v>5.81</v>
      </c>
      <c r="F35" s="3" t="s">
        <v>66</v>
      </c>
      <c r="G35" s="3">
        <v>4.6479999999999997</v>
      </c>
      <c r="H35" s="3">
        <v>5.81</v>
      </c>
      <c r="I35" s="3">
        <v>6.9719999999999898</v>
      </c>
      <c r="J35" s="3"/>
      <c r="K35" s="3" t="s">
        <v>63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110</v>
      </c>
      <c r="B36" s="3" t="s">
        <v>149</v>
      </c>
      <c r="C36" s="3" t="s">
        <v>21</v>
      </c>
      <c r="D36" s="3" t="s">
        <v>67</v>
      </c>
      <c r="E36" s="5">
        <v>4.9999999999999998E-7</v>
      </c>
      <c r="F36" s="3" t="s">
        <v>66</v>
      </c>
      <c r="G36" s="5">
        <v>3.9999999999999998E-7</v>
      </c>
      <c r="H36" s="5">
        <v>4.9999999999999998E-7</v>
      </c>
      <c r="I36" s="5">
        <v>5.9999999999999997E-7</v>
      </c>
      <c r="J36" s="3"/>
      <c r="K36" s="3" t="s">
        <v>93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129</v>
      </c>
      <c r="B37" s="3" t="s">
        <v>150</v>
      </c>
      <c r="C37" s="3" t="s">
        <v>21</v>
      </c>
      <c r="D37" s="3" t="s">
        <v>65</v>
      </c>
      <c r="E37" s="3">
        <v>4.8</v>
      </c>
      <c r="F37" s="3" t="s">
        <v>66</v>
      </c>
      <c r="G37" s="3">
        <v>3.84</v>
      </c>
      <c r="H37" s="3">
        <v>4.8</v>
      </c>
      <c r="I37" s="3">
        <v>5.76</v>
      </c>
      <c r="J37" s="3"/>
      <c r="K37" s="3" t="s">
        <v>64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130</v>
      </c>
      <c r="B38" s="3" t="s">
        <v>150</v>
      </c>
      <c r="C38" s="3" t="s">
        <v>21</v>
      </c>
      <c r="D38" s="3" t="s">
        <v>65</v>
      </c>
      <c r="E38" s="3">
        <v>0.04</v>
      </c>
      <c r="F38" s="3" t="s">
        <v>66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68</v>
      </c>
      <c r="P38">
        <f>IF(E38=[1]Sheet1!E38,1,0)</f>
        <v>1</v>
      </c>
      <c r="Q38">
        <f>IF(F38=[1]Sheet1!F38,1,0)</f>
        <v>1</v>
      </c>
      <c r="R38">
        <f>IF(G38=[1]Sheet1!G38,1,0)</f>
        <v>1</v>
      </c>
      <c r="S38">
        <f>IF(H38=[1]Sheet1!H38,1,0)</f>
        <v>1</v>
      </c>
      <c r="T38">
        <f>IF(I38=[1]Sheet1!I38,1,0)</f>
        <v>1</v>
      </c>
    </row>
    <row r="39" spans="1:20" x14ac:dyDescent="0.35">
      <c r="A39" s="3" t="s">
        <v>131</v>
      </c>
      <c r="B39" s="3" t="s">
        <v>150</v>
      </c>
      <c r="C39" s="3" t="s">
        <v>21</v>
      </c>
      <c r="D39" s="3" t="s">
        <v>65</v>
      </c>
      <c r="E39" s="3">
        <v>0.12</v>
      </c>
      <c r="F39" s="3" t="s">
        <v>66</v>
      </c>
      <c r="G39" s="3">
        <v>9.6000000000000002E-2</v>
      </c>
      <c r="H39" s="3">
        <v>0.12</v>
      </c>
      <c r="I39" s="3">
        <v>0.14399999999999999</v>
      </c>
      <c r="J39" s="3"/>
      <c r="K39" s="3" t="s">
        <v>69</v>
      </c>
      <c r="P39">
        <f>IF(E39=[1]Sheet1!E39,1,0)</f>
        <v>0</v>
      </c>
      <c r="Q39">
        <f>IF(F39=[1]Sheet1!F39,1,0)</f>
        <v>1</v>
      </c>
      <c r="R39">
        <f>IF(G39=[1]Sheet1!G39,1,0)</f>
        <v>0</v>
      </c>
      <c r="S39">
        <f>IF(H39=[1]Sheet1!H39,1,0)</f>
        <v>0</v>
      </c>
      <c r="T39">
        <f>IF(I39=[1]Sheet1!I39,1,0)</f>
        <v>0</v>
      </c>
    </row>
    <row r="40" spans="1:20" x14ac:dyDescent="0.35">
      <c r="A40" s="3" t="s">
        <v>132</v>
      </c>
      <c r="B40" s="3" t="s">
        <v>150</v>
      </c>
      <c r="C40" s="3" t="s">
        <v>21</v>
      </c>
      <c r="D40" s="3" t="s">
        <v>65</v>
      </c>
      <c r="E40" s="3">
        <v>0.04</v>
      </c>
      <c r="F40" s="3" t="s">
        <v>66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70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111</v>
      </c>
      <c r="B41" s="3" t="s">
        <v>150</v>
      </c>
      <c r="C41" s="3" t="s">
        <v>21</v>
      </c>
      <c r="D41" s="3" t="s">
        <v>67</v>
      </c>
      <c r="E41" s="3">
        <v>2.6400000000000002E-4</v>
      </c>
      <c r="F41" s="3" t="s">
        <v>66</v>
      </c>
      <c r="G41" s="3">
        <v>2.1120000000000001E-4</v>
      </c>
      <c r="H41" s="3">
        <v>2.6400000000000002E-4</v>
      </c>
      <c r="I41" s="3">
        <v>3.168E-4</v>
      </c>
      <c r="J41" s="3"/>
      <c r="K41" s="3" t="s">
        <v>94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133</v>
      </c>
      <c r="B42" s="3" t="s">
        <v>155</v>
      </c>
      <c r="C42" s="3" t="s">
        <v>21</v>
      </c>
      <c r="D42" s="3" t="s">
        <v>65</v>
      </c>
      <c r="E42" s="3">
        <v>1.04E-2</v>
      </c>
      <c r="F42" s="3" t="s">
        <v>66</v>
      </c>
      <c r="G42" s="3">
        <v>8.3199999999999993E-3</v>
      </c>
      <c r="H42" s="3">
        <v>1.04E-2</v>
      </c>
      <c r="I42" s="3">
        <v>1.248E-2</v>
      </c>
      <c r="J42" s="3"/>
      <c r="K42" s="3" t="s">
        <v>71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112</v>
      </c>
      <c r="B43" s="3" t="s">
        <v>155</v>
      </c>
      <c r="C43" s="3" t="s">
        <v>21</v>
      </c>
      <c r="D43" s="3" t="s">
        <v>67</v>
      </c>
      <c r="E43" s="3">
        <v>1.0200000000000001E-2</v>
      </c>
      <c r="F43" s="3" t="s">
        <v>66</v>
      </c>
      <c r="G43" s="3">
        <v>8.1600000000000006E-3</v>
      </c>
      <c r="H43" s="3">
        <v>1.0200000000000001E-2</v>
      </c>
      <c r="I43" s="3">
        <v>1.2239999999999999E-2</v>
      </c>
      <c r="J43" s="3"/>
      <c r="K43" s="3" t="s">
        <v>95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134</v>
      </c>
      <c r="B44" s="3" t="s">
        <v>155</v>
      </c>
      <c r="C44" s="3" t="s">
        <v>21</v>
      </c>
      <c r="D44" s="3" t="s">
        <v>65</v>
      </c>
      <c r="E44" s="3">
        <v>0.77500000000000002</v>
      </c>
      <c r="F44" s="3" t="s">
        <v>66</v>
      </c>
      <c r="G44" s="3">
        <v>0.62</v>
      </c>
      <c r="H44" s="3">
        <v>0.77500000000000002</v>
      </c>
      <c r="I44" s="3">
        <v>0.92999999999999905</v>
      </c>
      <c r="J44" s="3"/>
      <c r="K44" s="3" t="s">
        <v>72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113</v>
      </c>
      <c r="B45" s="3" t="s">
        <v>155</v>
      </c>
      <c r="C45" s="3" t="s">
        <v>21</v>
      </c>
      <c r="D45" s="3" t="s">
        <v>67</v>
      </c>
      <c r="E45" s="3">
        <v>0.1</v>
      </c>
      <c r="F45" s="3" t="s">
        <v>66</v>
      </c>
      <c r="G45" s="3">
        <v>0.08</v>
      </c>
      <c r="H45" s="3">
        <v>0.1</v>
      </c>
      <c r="I45" s="3">
        <v>0.12</v>
      </c>
      <c r="J45" s="3"/>
      <c r="K45" s="3" t="s">
        <v>96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114</v>
      </c>
      <c r="B46" s="3" t="s">
        <v>155</v>
      </c>
      <c r="C46" s="3" t="s">
        <v>21</v>
      </c>
      <c r="D46" s="3" t="s">
        <v>67</v>
      </c>
      <c r="E46" s="3">
        <v>440</v>
      </c>
      <c r="F46" s="3" t="s">
        <v>66</v>
      </c>
      <c r="G46" s="3">
        <v>352</v>
      </c>
      <c r="H46" s="3">
        <v>440</v>
      </c>
      <c r="I46" s="3">
        <v>528</v>
      </c>
      <c r="J46" s="3"/>
      <c r="K46" s="3" t="s">
        <v>97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135</v>
      </c>
      <c r="B47" s="3" t="s">
        <v>151</v>
      </c>
      <c r="C47" s="3" t="s">
        <v>21</v>
      </c>
      <c r="D47" s="3" t="s">
        <v>65</v>
      </c>
      <c r="E47" s="3">
        <v>2.82</v>
      </c>
      <c r="F47" s="3" t="s">
        <v>66</v>
      </c>
      <c r="G47" s="3">
        <v>2.2559999999999998</v>
      </c>
      <c r="H47" s="3">
        <v>2.82</v>
      </c>
      <c r="I47" s="3">
        <v>3.3839999999999999</v>
      </c>
      <c r="J47" s="3"/>
      <c r="K47" s="3" t="s">
        <v>73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136</v>
      </c>
      <c r="B48" s="3" t="s">
        <v>151</v>
      </c>
      <c r="C48" s="3" t="s">
        <v>21</v>
      </c>
      <c r="D48" s="3" t="s">
        <v>65</v>
      </c>
      <c r="E48" s="3">
        <v>1.2500000000000001E-2</v>
      </c>
      <c r="F48" s="3" t="s">
        <v>66</v>
      </c>
      <c r="G48" s="3">
        <v>0.01</v>
      </c>
      <c r="H48" s="3">
        <v>1.2500000000000001E-2</v>
      </c>
      <c r="I48" s="3">
        <v>1.4999999999999999E-2</v>
      </c>
      <c r="J48" s="3"/>
      <c r="K48" s="3" t="s">
        <v>74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115</v>
      </c>
      <c r="B49" s="3" t="s">
        <v>151</v>
      </c>
      <c r="C49" s="3" t="s">
        <v>21</v>
      </c>
      <c r="D49" s="3" t="s">
        <v>67</v>
      </c>
      <c r="E49" s="3">
        <v>3.4000000000000002E-2</v>
      </c>
      <c r="F49" s="3" t="s">
        <v>66</v>
      </c>
      <c r="G49" s="3">
        <v>2.7199999999999998E-2</v>
      </c>
      <c r="H49" s="3">
        <v>3.4000000000000002E-2</v>
      </c>
      <c r="I49" s="3">
        <v>4.0800000000000003E-2</v>
      </c>
      <c r="J49" s="3"/>
      <c r="K49" s="3" t="s">
        <v>98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116</v>
      </c>
      <c r="B50" s="3" t="s">
        <v>151</v>
      </c>
      <c r="C50" s="3" t="s">
        <v>21</v>
      </c>
      <c r="D50" s="3" t="s">
        <v>67</v>
      </c>
      <c r="E50" s="3">
        <v>5.7000000000000002E-2</v>
      </c>
      <c r="F50" s="3" t="s">
        <v>66</v>
      </c>
      <c r="G50" s="3">
        <v>4.5600000000000002E-2</v>
      </c>
      <c r="H50" s="3">
        <v>5.7000000000000002E-2</v>
      </c>
      <c r="I50" s="3">
        <v>6.8400000000000002E-2</v>
      </c>
      <c r="J50" s="3"/>
      <c r="K50" s="3" t="s">
        <v>99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137</v>
      </c>
      <c r="B51" s="3" t="s">
        <v>152</v>
      </c>
      <c r="C51" s="3" t="s">
        <v>21</v>
      </c>
      <c r="D51" s="3" t="s">
        <v>65</v>
      </c>
      <c r="E51" s="3">
        <v>1.2030000000000001</v>
      </c>
      <c r="F51" s="3" t="s">
        <v>66</v>
      </c>
      <c r="G51" s="3">
        <v>0.96240000000000003</v>
      </c>
      <c r="H51" s="3">
        <v>1.2030000000000001</v>
      </c>
      <c r="I51" s="3">
        <v>1.4436</v>
      </c>
      <c r="J51" s="3"/>
      <c r="K51" s="3" t="s">
        <v>75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138</v>
      </c>
      <c r="B52" s="3" t="s">
        <v>152</v>
      </c>
      <c r="C52" s="3" t="s">
        <v>21</v>
      </c>
      <c r="D52" s="3" t="s">
        <v>65</v>
      </c>
      <c r="E52" s="3">
        <v>0.04</v>
      </c>
      <c r="F52" s="3" t="s">
        <v>66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76</v>
      </c>
      <c r="P52">
        <f>IF(E52=[1]Sheet1!E52,1,0)</f>
        <v>1</v>
      </c>
      <c r="Q52">
        <f>IF(F52=[1]Sheet1!F52,1,0)</f>
        <v>1</v>
      </c>
      <c r="R52">
        <f>IF(G52=[1]Sheet1!G52,1,0)</f>
        <v>1</v>
      </c>
      <c r="S52">
        <f>IF(H52=[1]Sheet1!H52,1,0)</f>
        <v>1</v>
      </c>
      <c r="T52">
        <f>IF(I52=[1]Sheet1!I52,1,0)</f>
        <v>1</v>
      </c>
    </row>
    <row r="53" spans="1:20" x14ac:dyDescent="0.35">
      <c r="A53" s="3" t="s">
        <v>139</v>
      </c>
      <c r="B53" s="3" t="s">
        <v>152</v>
      </c>
      <c r="C53" s="3" t="s">
        <v>21</v>
      </c>
      <c r="D53" s="3" t="s">
        <v>65</v>
      </c>
      <c r="E53" s="3">
        <v>0.12</v>
      </c>
      <c r="F53" s="3" t="s">
        <v>66</v>
      </c>
      <c r="G53" s="3">
        <v>9.6000000000000002E-2</v>
      </c>
      <c r="H53" s="3">
        <v>0.12</v>
      </c>
      <c r="I53" s="3">
        <v>0.14399999999999999</v>
      </c>
      <c r="J53" s="3"/>
      <c r="K53" s="3" t="s">
        <v>77</v>
      </c>
      <c r="P53">
        <f>IF(E53=[1]Sheet1!E53,1,0)</f>
        <v>0</v>
      </c>
      <c r="Q53">
        <f>IF(F53=[1]Sheet1!F53,1,0)</f>
        <v>1</v>
      </c>
      <c r="R53">
        <f>IF(G53=[1]Sheet1!G53,1,0)</f>
        <v>0</v>
      </c>
      <c r="S53">
        <f>IF(H53=[1]Sheet1!H53,1,0)</f>
        <v>0</v>
      </c>
      <c r="T53">
        <f>IF(I53=[1]Sheet1!I53,1,0)</f>
        <v>0</v>
      </c>
    </row>
    <row r="54" spans="1:20" x14ac:dyDescent="0.35">
      <c r="A54" s="3" t="s">
        <v>140</v>
      </c>
      <c r="B54" s="3" t="s">
        <v>152</v>
      </c>
      <c r="C54" s="3" t="s">
        <v>21</v>
      </c>
      <c r="D54" s="3" t="s">
        <v>65</v>
      </c>
      <c r="E54" s="3">
        <v>0.04</v>
      </c>
      <c r="F54" s="3" t="s">
        <v>66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78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117</v>
      </c>
      <c r="B55" s="3" t="s">
        <v>152</v>
      </c>
      <c r="C55" s="3" t="s">
        <v>21</v>
      </c>
      <c r="D55" s="3" t="s">
        <v>67</v>
      </c>
      <c r="E55" s="3">
        <v>1.01E-2</v>
      </c>
      <c r="F55" s="3" t="s">
        <v>66</v>
      </c>
      <c r="G55" s="3">
        <v>8.0800000000000004E-3</v>
      </c>
      <c r="H55" s="3">
        <v>1.01E-2</v>
      </c>
      <c r="I55" s="3">
        <v>1.21199999999999E-2</v>
      </c>
      <c r="J55" s="3"/>
      <c r="K55" s="3" t="s">
        <v>100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141</v>
      </c>
      <c r="B56" s="3" t="s">
        <v>153</v>
      </c>
      <c r="C56" s="3" t="s">
        <v>21</v>
      </c>
      <c r="D56" s="3" t="s">
        <v>65</v>
      </c>
      <c r="E56" s="3">
        <v>0.58899999999999997</v>
      </c>
      <c r="F56" s="3" t="s">
        <v>66</v>
      </c>
      <c r="G56" s="3">
        <v>0.47120000000000001</v>
      </c>
      <c r="H56" s="3">
        <v>0.58899999999999997</v>
      </c>
      <c r="I56" s="3">
        <v>0.70679999999999998</v>
      </c>
      <c r="J56" s="3"/>
      <c r="K56" s="3" t="s">
        <v>79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142</v>
      </c>
      <c r="B57" s="3" t="s">
        <v>154</v>
      </c>
      <c r="C57" s="3" t="s">
        <v>21</v>
      </c>
      <c r="D57" s="3" t="s">
        <v>65</v>
      </c>
      <c r="E57" s="3">
        <v>8.0000000000000002E-3</v>
      </c>
      <c r="F57" s="3" t="s">
        <v>66</v>
      </c>
      <c r="G57" s="3">
        <v>6.4000000000000003E-3</v>
      </c>
      <c r="H57" s="3">
        <v>8.0000000000000002E-3</v>
      </c>
      <c r="I57" s="3">
        <v>9.5999999999999992E-3</v>
      </c>
      <c r="J57" s="3"/>
      <c r="K57" s="3" t="s">
        <v>80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118</v>
      </c>
      <c r="B58" s="3" t="s">
        <v>154</v>
      </c>
      <c r="C58" s="3" t="s">
        <v>21</v>
      </c>
      <c r="D58" s="3" t="s">
        <v>67</v>
      </c>
      <c r="E58" s="5">
        <v>9.9999999999999995E-7</v>
      </c>
      <c r="F58" s="3" t="s">
        <v>66</v>
      </c>
      <c r="G58" s="5">
        <v>7.9999999999999996E-7</v>
      </c>
      <c r="H58" s="5">
        <v>9.9999999999999995E-7</v>
      </c>
      <c r="I58" s="5">
        <v>1.1999999999999999E-6</v>
      </c>
      <c r="J58" s="3"/>
      <c r="K58" s="3" t="s">
        <v>101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143</v>
      </c>
      <c r="B59" s="3" t="s">
        <v>154</v>
      </c>
      <c r="C59" s="3" t="s">
        <v>21</v>
      </c>
      <c r="D59" s="3" t="s">
        <v>65</v>
      </c>
      <c r="E59" s="3">
        <v>7.51E-2</v>
      </c>
      <c r="F59" s="3" t="s">
        <v>66</v>
      </c>
      <c r="G59" s="3">
        <v>6.0080000000000001E-2</v>
      </c>
      <c r="H59" s="3">
        <v>7.51E-2</v>
      </c>
      <c r="I59" s="3">
        <v>9.0119999999999895E-2</v>
      </c>
      <c r="J59" s="3"/>
      <c r="K59" s="3" t="s">
        <v>81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119</v>
      </c>
      <c r="B60" s="3" t="s">
        <v>154</v>
      </c>
      <c r="C60" s="3" t="s">
        <v>21</v>
      </c>
      <c r="D60" s="3" t="s">
        <v>67</v>
      </c>
      <c r="E60" s="3">
        <v>13</v>
      </c>
      <c r="F60" s="3" t="s">
        <v>66</v>
      </c>
      <c r="G60" s="3">
        <v>10.4</v>
      </c>
      <c r="H60" s="3">
        <v>13</v>
      </c>
      <c r="I60" s="3">
        <v>15.6</v>
      </c>
      <c r="J60" s="3"/>
      <c r="K60" s="3" t="s">
        <v>102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120</v>
      </c>
      <c r="B61" s="3" t="s">
        <v>154</v>
      </c>
      <c r="C61" s="3" t="s">
        <v>21</v>
      </c>
      <c r="D61" s="3" t="s">
        <v>67</v>
      </c>
      <c r="E61" s="3">
        <v>25</v>
      </c>
      <c r="F61" s="3" t="s">
        <v>66</v>
      </c>
      <c r="G61" s="3">
        <v>20</v>
      </c>
      <c r="H61" s="3">
        <v>25</v>
      </c>
      <c r="I61" s="3">
        <v>30</v>
      </c>
      <c r="J61" s="3"/>
      <c r="K61" s="3" t="s">
        <v>103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144</v>
      </c>
      <c r="B62" s="3" t="s">
        <v>154</v>
      </c>
      <c r="C62" s="3" t="s">
        <v>21</v>
      </c>
      <c r="D62" s="3" t="s">
        <v>65</v>
      </c>
      <c r="E62" s="3">
        <v>3.9899999999999996E-3</v>
      </c>
      <c r="F62" s="3" t="s">
        <v>66</v>
      </c>
      <c r="G62" s="3">
        <v>3.192E-3</v>
      </c>
      <c r="H62" s="3">
        <v>3.9899999999999996E-3</v>
      </c>
      <c r="I62" s="3">
        <v>4.7879999999999997E-3</v>
      </c>
      <c r="J62" s="3"/>
      <c r="K62" s="3" t="s">
        <v>82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145</v>
      </c>
      <c r="B63" s="3" t="s">
        <v>156</v>
      </c>
      <c r="C63" s="3" t="s">
        <v>21</v>
      </c>
      <c r="D63" s="3" t="s">
        <v>65</v>
      </c>
      <c r="E63" s="3">
        <v>0.06</v>
      </c>
      <c r="F63" s="3" t="s">
        <v>66</v>
      </c>
      <c r="G63" s="3">
        <v>4.8000000000000001E-2</v>
      </c>
      <c r="H63" s="3">
        <v>0.06</v>
      </c>
      <c r="I63" s="3">
        <v>7.1999999999999995E-2</v>
      </c>
      <c r="J63" s="3"/>
      <c r="K63" s="3" t="s">
        <v>83</v>
      </c>
      <c r="P63">
        <f>IF(E63=[1]Sheet1!E63,1,0)</f>
        <v>0</v>
      </c>
      <c r="Q63">
        <f>IF(F63=[1]Sheet1!F63,1,0)</f>
        <v>0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146</v>
      </c>
      <c r="B64" s="3" t="s">
        <v>157</v>
      </c>
      <c r="C64" s="3" t="s">
        <v>21</v>
      </c>
      <c r="D64" s="3" t="s">
        <v>65</v>
      </c>
      <c r="E64" s="3">
        <v>0.02</v>
      </c>
      <c r="F64" s="3" t="s">
        <v>66</v>
      </c>
      <c r="G64" s="3">
        <v>1.6E-2</v>
      </c>
      <c r="H64" s="3">
        <v>0.02</v>
      </c>
      <c r="I64" s="3">
        <v>2.4E-2</v>
      </c>
      <c r="J64" s="3"/>
      <c r="K64" s="3" t="s">
        <v>84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158</v>
      </c>
      <c r="B65" s="3" t="s">
        <v>178</v>
      </c>
      <c r="C65" s="3" t="s">
        <v>21</v>
      </c>
      <c r="D65" s="3" t="s">
        <v>65</v>
      </c>
      <c r="E65" s="3">
        <v>5.81</v>
      </c>
      <c r="F65" s="3" t="s">
        <v>66</v>
      </c>
      <c r="G65" s="5">
        <f>E65*0.8</f>
        <v>4.6479999999999997</v>
      </c>
      <c r="H65" s="5">
        <f>E65</f>
        <v>5.81</v>
      </c>
      <c r="I65" s="5">
        <f>1.2*E65</f>
        <v>6.9719999999999995</v>
      </c>
      <c r="J65" s="3"/>
      <c r="K65" s="3" t="s">
        <v>159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160</v>
      </c>
      <c r="B66" s="3" t="s">
        <v>178</v>
      </c>
      <c r="C66" s="3" t="s">
        <v>21</v>
      </c>
      <c r="D66" s="3" t="s">
        <v>67</v>
      </c>
      <c r="E66" s="5">
        <v>4.9999999999999998E-7</v>
      </c>
      <c r="F66" s="3" t="s">
        <v>66</v>
      </c>
      <c r="G66" s="5">
        <f>E66*0.8</f>
        <v>3.9999999999999998E-7</v>
      </c>
      <c r="H66" s="5">
        <f>E66</f>
        <v>4.9999999999999998E-7</v>
      </c>
      <c r="I66" s="5">
        <f>1.2*E66</f>
        <v>5.9999999999999997E-7</v>
      </c>
      <c r="J66" s="3"/>
      <c r="K66" s="3" t="s">
        <v>161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162</v>
      </c>
      <c r="B67" s="3" t="s">
        <v>179</v>
      </c>
      <c r="C67" s="3" t="s">
        <v>21</v>
      </c>
      <c r="D67" s="3" t="s">
        <v>65</v>
      </c>
      <c r="E67" s="3">
        <v>4.8</v>
      </c>
      <c r="F67" s="3" t="s">
        <v>66</v>
      </c>
      <c r="G67" s="5">
        <f t="shared" ref="G68:G75" si="2">E67*0.8</f>
        <v>3.84</v>
      </c>
      <c r="H67" s="5">
        <f t="shared" ref="H68:H75" si="3">E67</f>
        <v>4.8</v>
      </c>
      <c r="I67" s="5">
        <f t="shared" ref="I68:I75" si="4">1.2*E67</f>
        <v>5.76</v>
      </c>
      <c r="J67" s="3"/>
      <c r="K67" s="3" t="s">
        <v>163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164</v>
      </c>
      <c r="B68" s="3" t="s">
        <v>179</v>
      </c>
      <c r="C68" s="3" t="s">
        <v>21</v>
      </c>
      <c r="D68" s="3" t="s">
        <v>67</v>
      </c>
      <c r="E68" s="5">
        <v>2.6400000000000002E-4</v>
      </c>
      <c r="F68" s="3" t="s">
        <v>66</v>
      </c>
      <c r="G68" s="5">
        <f t="shared" si="2"/>
        <v>2.1120000000000004E-4</v>
      </c>
      <c r="H68" s="5">
        <f t="shared" si="3"/>
        <v>2.6400000000000002E-4</v>
      </c>
      <c r="I68" s="5">
        <f t="shared" si="4"/>
        <v>3.168E-4</v>
      </c>
      <c r="J68" s="3"/>
      <c r="K68" s="3" t="s">
        <v>165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166</v>
      </c>
      <c r="B69" s="3" t="s">
        <v>180</v>
      </c>
      <c r="C69" s="3" t="s">
        <v>21</v>
      </c>
      <c r="D69" s="3" t="s">
        <v>65</v>
      </c>
      <c r="E69" s="3">
        <v>4.8</v>
      </c>
      <c r="F69" s="3" t="s">
        <v>66</v>
      </c>
      <c r="G69" s="5">
        <f t="shared" si="2"/>
        <v>3.84</v>
      </c>
      <c r="H69" s="5">
        <f t="shared" si="3"/>
        <v>4.8</v>
      </c>
      <c r="I69" s="5">
        <f t="shared" si="4"/>
        <v>5.76</v>
      </c>
      <c r="J69" s="3"/>
      <c r="K69" s="3" t="s">
        <v>167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168</v>
      </c>
      <c r="B70" s="3" t="s">
        <v>180</v>
      </c>
      <c r="C70" s="3" t="s">
        <v>21</v>
      </c>
      <c r="D70" s="3" t="s">
        <v>67</v>
      </c>
      <c r="E70" s="5">
        <v>2.6400000000000002E-4</v>
      </c>
      <c r="F70" s="3" t="s">
        <v>66</v>
      </c>
      <c r="G70" s="5">
        <f t="shared" si="2"/>
        <v>2.1120000000000004E-4</v>
      </c>
      <c r="H70" s="5">
        <f t="shared" si="3"/>
        <v>2.6400000000000002E-4</v>
      </c>
      <c r="I70" s="5">
        <f t="shared" si="4"/>
        <v>3.168E-4</v>
      </c>
      <c r="J70" s="3"/>
      <c r="K70" s="3" t="s">
        <v>169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170</v>
      </c>
      <c r="B71" s="3" t="s">
        <v>181</v>
      </c>
      <c r="C71" s="3" t="s">
        <v>21</v>
      </c>
      <c r="D71" s="3" t="s">
        <v>65</v>
      </c>
      <c r="E71" s="3">
        <v>2.82</v>
      </c>
      <c r="F71" s="3" t="s">
        <v>66</v>
      </c>
      <c r="G71" s="5">
        <f t="shared" si="2"/>
        <v>2.2559999999999998</v>
      </c>
      <c r="H71" s="5">
        <f t="shared" si="3"/>
        <v>2.82</v>
      </c>
      <c r="I71" s="5">
        <f t="shared" si="4"/>
        <v>3.3839999999999999</v>
      </c>
      <c r="J71" s="3"/>
      <c r="K71" s="3" t="s">
        <v>171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172</v>
      </c>
      <c r="B72" s="3" t="s">
        <v>181</v>
      </c>
      <c r="C72" s="3" t="s">
        <v>21</v>
      </c>
      <c r="D72" s="3" t="s">
        <v>65</v>
      </c>
      <c r="E72" s="3">
        <v>1.2500000000000001E-2</v>
      </c>
      <c r="F72" s="3" t="s">
        <v>66</v>
      </c>
      <c r="G72" s="5">
        <f t="shared" si="2"/>
        <v>1.0000000000000002E-2</v>
      </c>
      <c r="H72" s="5">
        <f t="shared" si="3"/>
        <v>1.2500000000000001E-2</v>
      </c>
      <c r="I72" s="5">
        <f t="shared" si="4"/>
        <v>1.4999999999999999E-2</v>
      </c>
      <c r="J72" s="3"/>
      <c r="K72" s="3" t="s">
        <v>173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174</v>
      </c>
      <c r="B73" s="3" t="s">
        <v>181</v>
      </c>
      <c r="C73" s="3" t="s">
        <v>21</v>
      </c>
      <c r="D73" s="3" t="s">
        <v>67</v>
      </c>
      <c r="E73" s="3">
        <v>3.4000000000000002E-2</v>
      </c>
      <c r="F73" s="3" t="s">
        <v>66</v>
      </c>
      <c r="G73" s="5">
        <f t="shared" si="2"/>
        <v>2.7200000000000002E-2</v>
      </c>
      <c r="H73" s="5">
        <f t="shared" si="3"/>
        <v>3.4000000000000002E-2</v>
      </c>
      <c r="I73" s="5">
        <f t="shared" si="4"/>
        <v>4.0800000000000003E-2</v>
      </c>
      <c r="J73" s="3"/>
      <c r="K73" s="3" t="s">
        <v>175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176</v>
      </c>
      <c r="B74" s="3" t="s">
        <v>181</v>
      </c>
      <c r="C74" s="3" t="s">
        <v>21</v>
      </c>
      <c r="D74" s="3" t="s">
        <v>67</v>
      </c>
      <c r="E74" s="3">
        <v>5.7000000000000002E-2</v>
      </c>
      <c r="F74" s="3" t="s">
        <v>66</v>
      </c>
      <c r="G74" s="5">
        <f t="shared" si="2"/>
        <v>4.5600000000000002E-2</v>
      </c>
      <c r="H74" s="5">
        <f t="shared" si="3"/>
        <v>5.7000000000000002E-2</v>
      </c>
      <c r="I74" s="5">
        <f t="shared" si="4"/>
        <v>6.8400000000000002E-2</v>
      </c>
      <c r="J74" s="3"/>
      <c r="K74" s="3" t="s">
        <v>177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2026-08-06T06:38:52Z</dcterms:modified>
</cp:coreProperties>
</file>