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5F5BD481-464D-4160-B6D3-98D4223FAAFD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1" l="1"/>
  <c r="T15" i="1" s="1"/>
  <c r="G15" i="1"/>
  <c r="R15" i="1" s="1"/>
  <c r="T13" i="1"/>
  <c r="R13" i="1"/>
  <c r="P18" i="1"/>
  <c r="Q18" i="1"/>
  <c r="R18" i="1"/>
  <c r="S18" i="1"/>
  <c r="T18" i="1"/>
  <c r="H18" i="1"/>
  <c r="I18" i="1" s="1"/>
  <c r="G18" i="1"/>
  <c r="R12" i="1"/>
  <c r="P3" i="1"/>
  <c r="Q3" i="1"/>
  <c r="R3" i="1"/>
  <c r="S3" i="1"/>
  <c r="T3" i="1"/>
  <c r="P4" i="1"/>
  <c r="Q4" i="1"/>
  <c r="R4" i="1"/>
  <c r="S4" i="1"/>
  <c r="T4" i="1"/>
  <c r="P5" i="1"/>
  <c r="Q5" i="1"/>
  <c r="R5" i="1"/>
  <c r="S5" i="1"/>
  <c r="T5" i="1"/>
  <c r="P6" i="1"/>
  <c r="Q6" i="1"/>
  <c r="R6" i="1"/>
  <c r="S6" i="1"/>
  <c r="T6" i="1"/>
  <c r="P7" i="1"/>
  <c r="Q7" i="1"/>
  <c r="R7" i="1"/>
  <c r="S7" i="1"/>
  <c r="T7" i="1"/>
  <c r="P8" i="1"/>
  <c r="Q8" i="1"/>
  <c r="R8" i="1"/>
  <c r="S8" i="1"/>
  <c r="T8" i="1"/>
  <c r="P9" i="1"/>
  <c r="Q9" i="1"/>
  <c r="R9" i="1"/>
  <c r="S9" i="1"/>
  <c r="T9" i="1"/>
  <c r="P10" i="1"/>
  <c r="Q10" i="1"/>
  <c r="R10" i="1"/>
  <c r="S10" i="1"/>
  <c r="T10" i="1"/>
  <c r="P11" i="1"/>
  <c r="Q11" i="1"/>
  <c r="R11" i="1"/>
  <c r="S11" i="1"/>
  <c r="T11" i="1"/>
  <c r="P12" i="1"/>
  <c r="Q12" i="1"/>
  <c r="S12" i="1"/>
  <c r="T12" i="1"/>
  <c r="P13" i="1"/>
  <c r="Q13" i="1"/>
  <c r="S13" i="1"/>
  <c r="P14" i="1"/>
  <c r="Q14" i="1"/>
  <c r="R14" i="1"/>
  <c r="S14" i="1"/>
  <c r="T14" i="1"/>
  <c r="P15" i="1"/>
  <c r="Q15" i="1"/>
  <c r="S15" i="1"/>
  <c r="P16" i="1"/>
  <c r="Q16" i="1"/>
  <c r="R16" i="1"/>
  <c r="S16" i="1"/>
  <c r="T16" i="1"/>
  <c r="P17" i="1"/>
  <c r="Q17" i="1"/>
  <c r="R17" i="1"/>
  <c r="S17" i="1"/>
  <c r="T17" i="1"/>
  <c r="P19" i="1"/>
  <c r="Q19" i="1"/>
  <c r="R19" i="1"/>
  <c r="S19" i="1"/>
  <c r="T19" i="1"/>
  <c r="P20" i="1"/>
  <c r="Q20" i="1"/>
  <c r="R20" i="1"/>
  <c r="S20" i="1"/>
  <c r="T20" i="1"/>
  <c r="P21" i="1"/>
  <c r="Q21" i="1"/>
  <c r="R21" i="1"/>
  <c r="S21" i="1"/>
  <c r="T21" i="1"/>
  <c r="P22" i="1"/>
  <c r="Q22" i="1"/>
  <c r="R22" i="1"/>
  <c r="S22" i="1"/>
  <c r="T22" i="1"/>
  <c r="P23" i="1"/>
  <c r="Q23" i="1"/>
  <c r="R23" i="1"/>
  <c r="S23" i="1"/>
  <c r="T23" i="1"/>
  <c r="P24" i="1"/>
  <c r="Q24" i="1"/>
  <c r="R24" i="1"/>
  <c r="S24" i="1"/>
  <c r="T24" i="1"/>
  <c r="P25" i="1"/>
  <c r="Q25" i="1"/>
  <c r="R25" i="1"/>
  <c r="S25" i="1"/>
  <c r="T25" i="1"/>
  <c r="P26" i="1"/>
  <c r="Q26" i="1"/>
  <c r="R26" i="1"/>
  <c r="S26" i="1"/>
  <c r="T26" i="1"/>
  <c r="P27" i="1"/>
  <c r="Q27" i="1"/>
  <c r="R27" i="1"/>
  <c r="S27" i="1"/>
  <c r="T27" i="1"/>
  <c r="P28" i="1"/>
  <c r="Q28" i="1"/>
  <c r="R28" i="1"/>
  <c r="S28" i="1"/>
  <c r="T28" i="1"/>
  <c r="P29" i="1"/>
  <c r="Q29" i="1"/>
  <c r="R29" i="1"/>
  <c r="S29" i="1"/>
  <c r="T29" i="1"/>
  <c r="P30" i="1"/>
  <c r="Q30" i="1"/>
  <c r="R30" i="1"/>
  <c r="S30" i="1"/>
  <c r="T30" i="1"/>
  <c r="P31" i="1"/>
  <c r="Q31" i="1"/>
  <c r="R31" i="1"/>
  <c r="S31" i="1"/>
  <c r="T31" i="1"/>
  <c r="P32" i="1"/>
  <c r="Q32" i="1"/>
  <c r="R32" i="1"/>
  <c r="S32" i="1"/>
  <c r="T32" i="1"/>
  <c r="P33" i="1"/>
  <c r="Q33" i="1"/>
  <c r="R33" i="1"/>
  <c r="S33" i="1"/>
  <c r="T33" i="1"/>
  <c r="P34" i="1"/>
  <c r="Q34" i="1"/>
  <c r="R34" i="1"/>
  <c r="S34" i="1"/>
  <c r="T34" i="1"/>
  <c r="P35" i="1"/>
  <c r="Q35" i="1"/>
  <c r="R35" i="1"/>
  <c r="S35" i="1"/>
  <c r="T35" i="1"/>
  <c r="P36" i="1"/>
  <c r="Q36" i="1"/>
  <c r="R36" i="1"/>
  <c r="S36" i="1"/>
  <c r="T36" i="1"/>
  <c r="P37" i="1"/>
  <c r="Q37" i="1"/>
  <c r="R37" i="1"/>
  <c r="S37" i="1"/>
  <c r="T37" i="1"/>
  <c r="P38" i="1"/>
  <c r="Q38" i="1"/>
  <c r="R38" i="1"/>
  <c r="S38" i="1"/>
  <c r="T38" i="1"/>
  <c r="P39" i="1"/>
  <c r="Q39" i="1"/>
  <c r="R39" i="1"/>
  <c r="S39" i="1"/>
  <c r="T39" i="1"/>
  <c r="P40" i="1"/>
  <c r="Q40" i="1"/>
  <c r="R40" i="1"/>
  <c r="S40" i="1"/>
  <c r="T40" i="1"/>
  <c r="P41" i="1"/>
  <c r="Q41" i="1"/>
  <c r="R41" i="1"/>
  <c r="S41" i="1"/>
  <c r="T41" i="1"/>
  <c r="P42" i="1"/>
  <c r="Q42" i="1"/>
  <c r="R42" i="1"/>
  <c r="S42" i="1"/>
  <c r="T42" i="1"/>
  <c r="P43" i="1"/>
  <c r="Q43" i="1"/>
  <c r="R43" i="1"/>
  <c r="S43" i="1"/>
  <c r="T43" i="1"/>
  <c r="P44" i="1"/>
  <c r="Q44" i="1"/>
  <c r="R44" i="1"/>
  <c r="S44" i="1"/>
  <c r="T44" i="1"/>
  <c r="P45" i="1"/>
  <c r="Q45" i="1"/>
  <c r="R45" i="1"/>
  <c r="S45" i="1"/>
  <c r="T45" i="1"/>
  <c r="P46" i="1"/>
  <c r="Q46" i="1"/>
  <c r="R46" i="1"/>
  <c r="S46" i="1"/>
  <c r="T46" i="1"/>
  <c r="P47" i="1"/>
  <c r="Q47" i="1"/>
  <c r="R47" i="1"/>
  <c r="S47" i="1"/>
  <c r="T47" i="1"/>
  <c r="P48" i="1"/>
  <c r="Q48" i="1"/>
  <c r="R48" i="1"/>
  <c r="S48" i="1"/>
  <c r="T48" i="1"/>
  <c r="P49" i="1"/>
  <c r="Q49" i="1"/>
  <c r="R49" i="1"/>
  <c r="S49" i="1"/>
  <c r="T49" i="1"/>
  <c r="P50" i="1"/>
  <c r="Q50" i="1"/>
  <c r="R50" i="1"/>
  <c r="S50" i="1"/>
  <c r="T50" i="1"/>
  <c r="P51" i="1"/>
  <c r="Q51" i="1"/>
  <c r="R51" i="1"/>
  <c r="S51" i="1"/>
  <c r="T51" i="1"/>
  <c r="P52" i="1"/>
  <c r="Q52" i="1"/>
  <c r="R52" i="1"/>
  <c r="S52" i="1"/>
  <c r="T52" i="1"/>
  <c r="P53" i="1"/>
  <c r="Q53" i="1"/>
  <c r="R53" i="1"/>
  <c r="S53" i="1"/>
  <c r="T53" i="1"/>
  <c r="P54" i="1"/>
  <c r="Q54" i="1"/>
  <c r="R54" i="1"/>
  <c r="S54" i="1"/>
  <c r="T54" i="1"/>
  <c r="P55" i="1"/>
  <c r="Q55" i="1"/>
  <c r="R55" i="1"/>
  <c r="S55" i="1"/>
  <c r="T55" i="1"/>
  <c r="P56" i="1"/>
  <c r="Q56" i="1"/>
  <c r="R56" i="1"/>
  <c r="S56" i="1"/>
  <c r="T56" i="1"/>
  <c r="P57" i="1"/>
  <c r="Q57" i="1"/>
  <c r="R57" i="1"/>
  <c r="S57" i="1"/>
  <c r="T57" i="1"/>
  <c r="P58" i="1"/>
  <c r="Q58" i="1"/>
  <c r="R58" i="1"/>
  <c r="S58" i="1"/>
  <c r="T58" i="1"/>
  <c r="P59" i="1"/>
  <c r="Q59" i="1"/>
  <c r="R59" i="1"/>
  <c r="S59" i="1"/>
  <c r="T59" i="1"/>
  <c r="P60" i="1"/>
  <c r="Q60" i="1"/>
  <c r="R60" i="1"/>
  <c r="S60" i="1"/>
  <c r="T60" i="1"/>
  <c r="P61" i="1"/>
  <c r="Q61" i="1"/>
  <c r="R61" i="1"/>
  <c r="S61" i="1"/>
  <c r="T61" i="1"/>
  <c r="P62" i="1"/>
  <c r="Q62" i="1"/>
  <c r="R62" i="1"/>
  <c r="S62" i="1"/>
  <c r="T62" i="1"/>
  <c r="P63" i="1"/>
  <c r="Q63" i="1"/>
  <c r="R63" i="1"/>
  <c r="S63" i="1"/>
  <c r="T63" i="1"/>
  <c r="P64" i="1"/>
  <c r="Q64" i="1"/>
  <c r="R64" i="1"/>
  <c r="S64" i="1"/>
  <c r="T64" i="1"/>
  <c r="P65" i="1"/>
  <c r="Q65" i="1"/>
  <c r="R65" i="1"/>
  <c r="S65" i="1"/>
  <c r="T65" i="1"/>
  <c r="P66" i="1"/>
  <c r="Q66" i="1"/>
  <c r="R66" i="1"/>
  <c r="S66" i="1"/>
  <c r="T66" i="1"/>
  <c r="P67" i="1"/>
  <c r="Q67" i="1"/>
  <c r="R67" i="1"/>
  <c r="S67" i="1"/>
  <c r="T67" i="1"/>
  <c r="P68" i="1"/>
  <c r="Q68" i="1"/>
  <c r="R68" i="1"/>
  <c r="S68" i="1"/>
  <c r="T68" i="1"/>
  <c r="P69" i="1"/>
  <c r="Q69" i="1"/>
  <c r="R69" i="1"/>
  <c r="S69" i="1"/>
  <c r="T69" i="1"/>
  <c r="P70" i="1"/>
  <c r="Q70" i="1"/>
  <c r="R70" i="1"/>
  <c r="S70" i="1"/>
  <c r="T70" i="1"/>
  <c r="P71" i="1"/>
  <c r="Q71" i="1"/>
  <c r="R71" i="1"/>
  <c r="S71" i="1"/>
  <c r="T71" i="1"/>
  <c r="P72" i="1"/>
  <c r="Q72" i="1"/>
  <c r="R72" i="1"/>
  <c r="S72" i="1"/>
  <c r="T72" i="1"/>
  <c r="P73" i="1"/>
  <c r="Q73" i="1"/>
  <c r="R73" i="1"/>
  <c r="S73" i="1"/>
  <c r="T73" i="1"/>
  <c r="P74" i="1"/>
  <c r="Q74" i="1"/>
  <c r="R74" i="1"/>
  <c r="S74" i="1"/>
  <c r="T74" i="1"/>
  <c r="P75" i="1"/>
  <c r="Q75" i="1"/>
  <c r="R75" i="1"/>
  <c r="S75" i="1"/>
  <c r="T75" i="1"/>
  <c r="T2" i="1"/>
  <c r="R2" i="1"/>
  <c r="S2" i="1"/>
  <c r="Q2" i="1"/>
  <c r="P2" i="1"/>
  <c r="H12" i="1" l="1"/>
  <c r="I13" i="1"/>
  <c r="G13" i="1"/>
  <c r="I11" i="1"/>
  <c r="G11" i="1"/>
  <c r="I10" i="1"/>
  <c r="G10" i="1"/>
  <c r="I9" i="1"/>
  <c r="G9" i="1"/>
  <c r="I8" i="1"/>
  <c r="G8" i="1"/>
  <c r="I7" i="1"/>
  <c r="G7" i="1"/>
  <c r="I6" i="1"/>
  <c r="G6" i="1"/>
  <c r="H5" i="1"/>
  <c r="H4" i="1"/>
  <c r="G17" i="1"/>
  <c r="I17" i="1"/>
  <c r="H19" i="1"/>
  <c r="G19" i="1" s="1"/>
  <c r="I19" i="1"/>
  <c r="I66" i="1"/>
  <c r="H66" i="1"/>
  <c r="G6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22" i="1"/>
  <c r="H22" i="1"/>
  <c r="G22" i="1"/>
  <c r="H21" i="1"/>
  <c r="I21" i="1"/>
  <c r="G21" i="1"/>
  <c r="I3" i="1" l="1"/>
  <c r="H3" i="1"/>
  <c r="G3" i="1"/>
</calcChain>
</file>

<file path=xl/sharedStrings.xml><?xml version="1.0" encoding="utf-8"?>
<sst xmlns="http://schemas.openxmlformats.org/spreadsheetml/2006/main" count="455" uniqueCount="194">
  <si>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</si>
  <si>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</si>
  <si>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</si>
  <si>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</si>
  <si>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</si>
  <si>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</si>
  <si>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</si>
  <si>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</si>
  <si>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</si>
  <si>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</si>
  <si>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</si>
  <si>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</si>
  <si>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</si>
  <si>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</si>
  <si>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</si>
  <si>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</si>
  <si>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</si>
  <si>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</si>
  <si>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</si>
  <si>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</si>
  <si>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</si>
  <si>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</si>
  <si>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</si>
  <si>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</si>
  <si>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</si>
  <si>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</si>
  <si>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</si>
  <si>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</si>
  <si>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</si>
  <si>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</si>
  <si>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</si>
  <si>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</si>
  <si>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</si>
  <si>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</si>
  <si>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</si>
  <si>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</si>
  <si>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</si>
  <si>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</si>
  <si>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</si>
  <si>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</si>
  <si>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</si>
  <si>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</si>
  <si>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</si>
  <si>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</si>
  <si>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</si>
  <si>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</si>
  <si>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</si>
  <si>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</si>
  <si>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</si>
  <si>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</si>
  <si>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</si>
  <si>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</si>
  <si>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Product ethanol storage time</t>
  </si>
  <si>
    <t>Product isobutanol storage time</t>
  </si>
  <si>
    <t>V513.tau = x</t>
  </si>
  <si>
    <t>V514.tau = x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</si>
  <si>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</si>
  <si>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</si>
  <si>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</si>
  <si>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</si>
  <si>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</si>
  <si>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</si>
  <si>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</si>
  <si>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</si>
  <si>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</si>
  <si>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</si>
  <si>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</si>
  <si>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</si>
  <si>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</si>
  <si>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</si>
  <si>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</si>
  <si>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</si>
  <si>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</si>
  <si>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</si>
  <si>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</si>
  <si>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</si>
  <si>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</si>
  <si>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</si>
  <si>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</si>
  <si>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</si>
  <si>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</si>
  <si>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</si>
  <si>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</si>
  <si>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</si>
  <si>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</si>
  <si>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</si>
  <si>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</si>
  <si>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</si>
  <si>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</si>
  <si>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</si>
  <si>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</si>
  <si>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</si>
  <si>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</si>
  <si>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</si>
  <si>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</si>
  <si>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</si>
  <si>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</si>
  <si>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</si>
  <si>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</si>
  <si>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</si>
  <si>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</si>
  <si>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</si>
  <si>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</si>
  <si>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</si>
  <si>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</si>
  <si>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</si>
  <si>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</si>
  <si>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</si>
  <si>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</si>
  <si>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</si>
  <si>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</si>
  <si>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</si>
  <si>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</si>
  <si>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</si>
  <si>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</si>
  <si>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</si>
  <si>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</si>
  <si>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</si>
  <si>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</si>
  <si>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</si>
  <si>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</si>
  <si>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</si>
  <si>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</si>
  <si>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</si>
  <si>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</si>
  <si>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</si>
  <si>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</si>
  <si>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</si>
  <si>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</si>
  <si>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</si>
  <si>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</si>
  <si>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</si>
  <si>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</si>
  <si>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</si>
  <si>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</si>
  <si>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</si>
  <si>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</si>
  <si>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</si>
  <si>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</si>
  <si>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</si>
  <si>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</si>
  <si>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</si>
  <si>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</si>
  <si>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</si>
  <si>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</si>
  <si>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</si>
  <si>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</si>
  <si>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</si>
  <si>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</si>
  <si>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</si>
  <si>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</si>
  <si>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</si>
  <si>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</si>
  <si>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</si>
  <si>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</si>
  <si>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</si>
  <si>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</si>
  <si>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</si>
  <si>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._k_13</t>
  </si>
  <si>
    <t>V406.kinetic_reaction_system._te.k_13 = x</t>
  </si>
  <si>
    <t>K_13</t>
  </si>
  <si>
    <t>V406.kinetic_reaction_system._te.K_13 = x</t>
  </si>
  <si>
    <t>._k_14</t>
  </si>
  <si>
    <t>V406.kinetic_reaction_system._te.k_14 = x</t>
  </si>
  <si>
    <t>K_14</t>
  </si>
  <si>
    <t>V406.kinetic_reaction_system._te.K_14 = x</t>
  </si>
  <si>
    <t>._k_15</t>
  </si>
  <si>
    <t>V406.kinetic_reaction_system._te.k_15 = x</t>
  </si>
  <si>
    <t>K_15</t>
  </si>
  <si>
    <t>V406.kinetic_reaction_system._te.K_15 = x</t>
  </si>
  <si>
    <t>._k_16</t>
  </si>
  <si>
    <t>V406.kinetic_reaction_system._te.k_16 = x</t>
  </si>
  <si>
    <t>._k_16r</t>
  </si>
  <si>
    <t>V406.kinetic_reaction_system._te.k_16r = x</t>
  </si>
  <si>
    <t>K_16</t>
  </si>
  <si>
    <t>V406.kinetic_reaction_system._te.K_16 = x</t>
  </si>
  <si>
    <t>K_16i</t>
  </si>
  <si>
    <t>V406.kinetic_reaction_system._te.K_16i = x</t>
  </si>
  <si>
    <t>Kinetics: Pyruvate-to-Acetolactate</t>
  </si>
  <si>
    <t>Kinetics: Acetolactate-to-DHI</t>
  </si>
  <si>
    <t>Kinetics: DHI-to-Ketoisovalerate</t>
  </si>
  <si>
    <t>Kinetics: Ketoisovalerate-to-Isobutanol</t>
  </si>
  <si>
    <t>DDGS.price =x</t>
  </si>
  <si>
    <t>V514.isobutanol_price = x</t>
  </si>
  <si>
    <t>makeup_isopentyl_acetate.price = x</t>
  </si>
  <si>
    <t>Feedstock starch content</t>
  </si>
  <si>
    <t>Isopentyl acetate unit price</t>
  </si>
  <si>
    <t>Aeration rate safety factor</t>
  </si>
  <si>
    <t>Fermentation</t>
  </si>
  <si>
    <t>V406.aeration_safety_factor = x</t>
  </si>
  <si>
    <t>DDGS unit price (sale)</t>
  </si>
  <si>
    <t>Isobutanol selling unit price (sale)</t>
  </si>
  <si>
    <t>kg/dry-kg</t>
  </si>
  <si>
    <t>fixed_F_mass = feedstock.F_mass; feedstock.imass['Starch'] = x * (fixed_F_mass - feedstock.imass['Water']); feedstock.F_mass = fixed_F_mass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</si>
</sst>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ran\Documents\Academia\repository_clones\Bioindustrial-Park\biorefineries\isobutanol\analyses\full\parameter_distributions\parameter-distributions_corn_IBO_EtOH_A.xlsx" TargetMode="External"/><Relationship Id="rId1" Type="http://schemas.openxmlformats.org/officeDocument/2006/relationships/externalLinkPath" Target="parameter-distributions_corn_IBO_EtOH_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E2">
            <v>1</v>
          </cell>
          <cell r="F2" t="str">
            <v>Uniform</v>
          </cell>
          <cell r="G2">
            <v>0.9</v>
          </cell>
          <cell r="I2">
            <v>1.1000000000000001</v>
          </cell>
        </row>
        <row r="3">
          <cell r="E3">
            <v>330</v>
          </cell>
          <cell r="F3" t="str">
            <v>Triangular</v>
          </cell>
          <cell r="G3">
            <v>297</v>
          </cell>
          <cell r="H3">
            <v>330</v>
          </cell>
          <cell r="I3">
            <v>363.00000000000006</v>
          </cell>
        </row>
        <row r="4">
          <cell r="E4">
            <v>0.13900000000000001</v>
          </cell>
          <cell r="F4" t="str">
            <v>Triangular</v>
          </cell>
          <cell r="G4">
            <v>0.127</v>
          </cell>
          <cell r="H4">
            <v>0.13900000000000001</v>
          </cell>
          <cell r="I4">
            <v>0.15</v>
          </cell>
        </row>
        <row r="5">
          <cell r="E5">
            <v>7.0000000000000007E-2</v>
          </cell>
          <cell r="F5" t="str">
            <v>Triangular</v>
          </cell>
          <cell r="G5">
            <v>6.7000000000000004E-2</v>
          </cell>
          <cell r="H5">
            <v>7.0000000000000007E-2</v>
          </cell>
          <cell r="I5">
            <v>7.3999999999999996E-2</v>
          </cell>
        </row>
        <row r="6">
          <cell r="E6">
            <v>0.44900000000000001</v>
          </cell>
          <cell r="F6" t="str">
            <v>Uniform</v>
          </cell>
          <cell r="G6">
            <v>0.35920000000000002</v>
          </cell>
          <cell r="I6">
            <v>0.53879999999999995</v>
          </cell>
        </row>
        <row r="7">
          <cell r="E7">
            <v>1.86</v>
          </cell>
          <cell r="F7" t="str">
            <v>Uniform</v>
          </cell>
          <cell r="G7">
            <v>1.4880000000000002</v>
          </cell>
          <cell r="I7">
            <v>2.2320000000000002</v>
          </cell>
        </row>
        <row r="8">
          <cell r="E8">
            <v>2.25</v>
          </cell>
          <cell r="F8" t="str">
            <v>Uniform</v>
          </cell>
          <cell r="G8">
            <v>1.8</v>
          </cell>
          <cell r="I8">
            <v>2.6999999999999997</v>
          </cell>
        </row>
        <row r="9">
          <cell r="E9">
            <v>2.25</v>
          </cell>
          <cell r="F9" t="str">
            <v>Uniform</v>
          </cell>
          <cell r="G9">
            <v>1.8</v>
          </cell>
          <cell r="I9">
            <v>2.6999999999999997</v>
          </cell>
        </row>
        <row r="10">
          <cell r="E10">
            <v>0.436</v>
          </cell>
          <cell r="F10" t="str">
            <v>Uniform</v>
          </cell>
          <cell r="G10">
            <v>0.3488</v>
          </cell>
          <cell r="I10">
            <v>0.5232</v>
          </cell>
        </row>
        <row r="11">
          <cell r="E11">
            <v>0.12</v>
          </cell>
          <cell r="F11" t="str">
            <v>Uniform</v>
          </cell>
          <cell r="G11">
            <v>9.6000000000000002E-2</v>
          </cell>
          <cell r="I11">
            <v>0.14399999999999999</v>
          </cell>
        </row>
        <row r="12">
          <cell r="E12">
            <v>0.28599999999999998</v>
          </cell>
          <cell r="F12" t="str">
            <v>Triangular</v>
          </cell>
          <cell r="G12">
            <v>0.17499999999999999</v>
          </cell>
          <cell r="H12">
            <v>0.28599999999999998</v>
          </cell>
          <cell r="I12">
            <v>0.315</v>
          </cell>
        </row>
        <row r="13">
          <cell r="E13">
            <v>0.10355</v>
          </cell>
          <cell r="F13" t="str">
            <v>Uniform</v>
          </cell>
          <cell r="G13">
            <v>8.2840000000000011E-2</v>
          </cell>
          <cell r="I13">
            <v>0.12426</v>
          </cell>
        </row>
        <row r="14">
          <cell r="E14">
            <v>0.21</v>
          </cell>
          <cell r="F14" t="str">
            <v>Uniform</v>
          </cell>
          <cell r="G14">
            <v>0.15</v>
          </cell>
          <cell r="I14">
            <v>0.28000000000000003</v>
          </cell>
        </row>
        <row r="15">
          <cell r="E15">
            <v>0.15</v>
          </cell>
          <cell r="F15" t="str">
            <v>Uniform</v>
          </cell>
          <cell r="G15">
            <v>0.12</v>
          </cell>
          <cell r="I15">
            <v>0.18</v>
          </cell>
        </row>
        <row r="16">
          <cell r="E16">
            <v>0.72</v>
          </cell>
          <cell r="F16" t="str">
            <v>Triangular</v>
          </cell>
          <cell r="G16">
            <v>0.57599999999999996</v>
          </cell>
          <cell r="H16">
            <v>0.72</v>
          </cell>
          <cell r="I16">
            <v>0.86399999999999999</v>
          </cell>
        </row>
        <row r="17">
          <cell r="E17">
            <v>56972</v>
          </cell>
          <cell r="F17" t="str">
            <v>Triangular</v>
          </cell>
          <cell r="G17">
            <v>45577.600000000006</v>
          </cell>
          <cell r="H17">
            <v>56972</v>
          </cell>
          <cell r="I17">
            <v>68366.399999999994</v>
          </cell>
        </row>
        <row r="18">
          <cell r="E18">
            <v>2</v>
          </cell>
          <cell r="F18" t="str">
            <v>Uniform</v>
          </cell>
          <cell r="G18">
            <v>1</v>
          </cell>
          <cell r="I18">
            <v>3</v>
          </cell>
        </row>
        <row r="19">
          <cell r="E19">
            <v>156</v>
          </cell>
          <cell r="F19" t="str">
            <v>Triangular</v>
          </cell>
          <cell r="G19">
            <v>124.80000000000001</v>
          </cell>
          <cell r="H19">
            <v>156</v>
          </cell>
          <cell r="I19">
            <v>187.2</v>
          </cell>
        </row>
        <row r="20">
          <cell r="E20">
            <v>156</v>
          </cell>
          <cell r="F20" t="str">
            <v>Triangular</v>
          </cell>
          <cell r="G20">
            <v>124.80000000000001</v>
          </cell>
          <cell r="H20">
            <v>156</v>
          </cell>
          <cell r="I20">
            <v>187.2</v>
          </cell>
        </row>
        <row r="21">
          <cell r="E21">
            <v>1.43</v>
          </cell>
          <cell r="F21" t="str">
            <v>triangular</v>
          </cell>
          <cell r="G21">
            <v>1.1439999999999999</v>
          </cell>
          <cell r="H21">
            <v>1.43</v>
          </cell>
          <cell r="I21">
            <v>1.716</v>
          </cell>
        </row>
        <row r="22">
          <cell r="E22">
            <v>0.94</v>
          </cell>
          <cell r="F22" t="str">
            <v>triangular</v>
          </cell>
          <cell r="G22">
            <v>0.752</v>
          </cell>
          <cell r="H22">
            <v>0.94</v>
          </cell>
          <cell r="I22">
            <v>1.1279999999999999</v>
          </cell>
        </row>
        <row r="23">
          <cell r="E23">
            <v>0.58399999999999996</v>
          </cell>
          <cell r="F23" t="str">
            <v>triangular</v>
          </cell>
          <cell r="G23">
            <v>0.4672</v>
          </cell>
          <cell r="H23">
            <v>0.58399999999999996</v>
          </cell>
          <cell r="I23">
            <v>0.70079999999999998</v>
          </cell>
        </row>
        <row r="24">
          <cell r="E24">
            <v>1.1599999999999999E-2</v>
          </cell>
          <cell r="F24" t="str">
            <v>triangular</v>
          </cell>
          <cell r="G24">
            <v>9.2800000000000001E-3</v>
          </cell>
          <cell r="H24">
            <v>1.1599999999999999E-2</v>
          </cell>
          <cell r="I24">
            <v>1.3919999999999899E-2</v>
          </cell>
        </row>
        <row r="25">
          <cell r="E25">
            <v>47.1</v>
          </cell>
          <cell r="F25" t="str">
            <v>triangular</v>
          </cell>
          <cell r="G25">
            <v>37.68</v>
          </cell>
          <cell r="H25">
            <v>47.1</v>
          </cell>
          <cell r="I25">
            <v>56.52</v>
          </cell>
        </row>
        <row r="26">
          <cell r="E26">
            <v>14.2</v>
          </cell>
          <cell r="F26" t="str">
            <v>triangular</v>
          </cell>
          <cell r="G26">
            <v>11.36</v>
          </cell>
          <cell r="H26">
            <v>14.2</v>
          </cell>
          <cell r="I26">
            <v>17.04</v>
          </cell>
        </row>
        <row r="27">
          <cell r="E27">
            <v>0.12</v>
          </cell>
          <cell r="F27" t="str">
            <v>triangular</v>
          </cell>
          <cell r="G27">
            <v>9.6000000000000002E-2</v>
          </cell>
          <cell r="H27">
            <v>0.12</v>
          </cell>
          <cell r="I27">
            <v>0.14399999999999999</v>
          </cell>
        </row>
        <row r="28">
          <cell r="E28">
            <v>0.04</v>
          </cell>
          <cell r="F28" t="str">
            <v>triangular</v>
          </cell>
          <cell r="G28">
            <v>3.2000000000000001E-2</v>
          </cell>
          <cell r="H28">
            <v>0.04</v>
          </cell>
          <cell r="I28">
            <v>4.8000000000000001E-2</v>
          </cell>
        </row>
        <row r="29">
          <cell r="E29">
            <v>0.12</v>
          </cell>
          <cell r="F29" t="str">
            <v>triangular</v>
          </cell>
          <cell r="G29">
            <v>9.6000000000000002E-2</v>
          </cell>
          <cell r="H29">
            <v>0.12</v>
          </cell>
          <cell r="I29">
            <v>0.14399999999999999</v>
          </cell>
        </row>
        <row r="30">
          <cell r="E30">
            <v>0.04</v>
          </cell>
          <cell r="F30" t="str">
            <v>triangular</v>
          </cell>
          <cell r="G30">
            <v>3.2000000000000001E-2</v>
          </cell>
          <cell r="H30">
            <v>0.04</v>
          </cell>
          <cell r="I30">
            <v>4.8000000000000001E-2</v>
          </cell>
        </row>
        <row r="31">
          <cell r="E31">
            <v>0.501</v>
          </cell>
          <cell r="F31" t="str">
            <v>triangular</v>
          </cell>
          <cell r="G31">
            <v>0.40079999999999999</v>
          </cell>
          <cell r="H31">
            <v>0.501</v>
          </cell>
          <cell r="I31">
            <v>0.60119999999999996</v>
          </cell>
        </row>
        <row r="32">
          <cell r="E32">
            <v>2.0000000000000002E-5</v>
          </cell>
          <cell r="F32" t="str">
            <v>triangular</v>
          </cell>
          <cell r="G32">
            <v>1.5999999999999999E-5</v>
          </cell>
          <cell r="H32">
            <v>2.0000000000000002E-5</v>
          </cell>
          <cell r="I32">
            <v>2.4000000000000001E-5</v>
          </cell>
        </row>
        <row r="33">
          <cell r="E33">
            <v>0.10100000000000001</v>
          </cell>
          <cell r="F33" t="str">
            <v>triangular</v>
          </cell>
          <cell r="G33">
            <v>8.0799999999999997E-2</v>
          </cell>
          <cell r="H33">
            <v>0.10100000000000001</v>
          </cell>
          <cell r="I33">
            <v>0.1212</v>
          </cell>
        </row>
        <row r="34">
          <cell r="E34">
            <v>5.81</v>
          </cell>
          <cell r="F34" t="str">
            <v>triangular</v>
          </cell>
          <cell r="G34">
            <v>4.6479999999999997</v>
          </cell>
          <cell r="H34">
            <v>5.81</v>
          </cell>
          <cell r="I34">
            <v>6.9719999999999898</v>
          </cell>
        </row>
        <row r="35">
          <cell r="E35">
            <v>4.9999999999999998E-7</v>
          </cell>
          <cell r="F35" t="str">
            <v>triangular</v>
          </cell>
          <cell r="G35">
            <v>3.9999999999999998E-7</v>
          </cell>
          <cell r="H35">
            <v>4.9999999999999998E-7</v>
          </cell>
          <cell r="I35">
            <v>5.9999999999999997E-7</v>
          </cell>
        </row>
        <row r="36">
          <cell r="E36">
            <v>4.8</v>
          </cell>
          <cell r="F36" t="str">
            <v>triangular</v>
          </cell>
          <cell r="G36">
            <v>3.84</v>
          </cell>
          <cell r="H36">
            <v>4.8</v>
          </cell>
          <cell r="I36">
            <v>5.76</v>
          </cell>
        </row>
        <row r="37">
          <cell r="E37">
            <v>0.04</v>
          </cell>
          <cell r="F37" t="str">
            <v>triangular</v>
          </cell>
          <cell r="G37">
            <v>3.2000000000000001E-2</v>
          </cell>
          <cell r="H37">
            <v>0.04</v>
          </cell>
          <cell r="I37">
            <v>4.8000000000000001E-2</v>
          </cell>
        </row>
        <row r="38">
          <cell r="E38">
            <v>0.12</v>
          </cell>
          <cell r="F38" t="str">
            <v>triangular</v>
          </cell>
          <cell r="G38">
            <v>9.6000000000000002E-2</v>
          </cell>
          <cell r="H38">
            <v>0.12</v>
          </cell>
          <cell r="I38">
            <v>0.14399999999999999</v>
          </cell>
        </row>
        <row r="39">
          <cell r="E39">
            <v>0.04</v>
          </cell>
          <cell r="F39" t="str">
            <v>triangular</v>
          </cell>
          <cell r="G39">
            <v>3.2000000000000001E-2</v>
          </cell>
          <cell r="H39">
            <v>0.04</v>
          </cell>
          <cell r="I39">
            <v>4.8000000000000001E-2</v>
          </cell>
        </row>
        <row r="40">
          <cell r="E40">
            <v>2.6400000000000002E-4</v>
          </cell>
          <cell r="F40" t="str">
            <v>triangular</v>
          </cell>
          <cell r="G40">
            <v>2.1120000000000001E-4</v>
          </cell>
          <cell r="H40">
            <v>2.6400000000000002E-4</v>
          </cell>
          <cell r="I40">
            <v>3.168E-4</v>
          </cell>
        </row>
        <row r="41">
          <cell r="E41">
            <v>1.04E-2</v>
          </cell>
          <cell r="F41" t="str">
            <v>triangular</v>
          </cell>
          <cell r="G41">
            <v>8.3199999999999993E-3</v>
          </cell>
          <cell r="H41">
            <v>1.04E-2</v>
          </cell>
          <cell r="I41">
            <v>1.248E-2</v>
          </cell>
        </row>
        <row r="42">
          <cell r="E42">
            <v>1.0200000000000001E-2</v>
          </cell>
          <cell r="F42" t="str">
            <v>triangular</v>
          </cell>
          <cell r="G42">
            <v>8.1600000000000006E-3</v>
          </cell>
          <cell r="H42">
            <v>1.0200000000000001E-2</v>
          </cell>
          <cell r="I42">
            <v>1.2239999999999999E-2</v>
          </cell>
        </row>
        <row r="43">
          <cell r="E43">
            <v>0.77500000000000002</v>
          </cell>
          <cell r="F43" t="str">
            <v>triangular</v>
          </cell>
          <cell r="G43">
            <v>0.62</v>
          </cell>
          <cell r="H43">
            <v>0.77500000000000002</v>
          </cell>
          <cell r="I43">
            <v>0.92999999999999905</v>
          </cell>
        </row>
        <row r="44">
          <cell r="E44">
            <v>0.1</v>
          </cell>
          <cell r="F44" t="str">
            <v>triangular</v>
          </cell>
          <cell r="G44">
            <v>0.08</v>
          </cell>
          <cell r="H44">
            <v>0.1</v>
          </cell>
          <cell r="I44">
            <v>0.12</v>
          </cell>
        </row>
        <row r="45">
          <cell r="E45">
            <v>440</v>
          </cell>
          <cell r="F45" t="str">
            <v>triangular</v>
          </cell>
          <cell r="G45">
            <v>352</v>
          </cell>
          <cell r="H45">
            <v>440</v>
          </cell>
          <cell r="I45">
            <v>528</v>
          </cell>
        </row>
        <row r="46">
          <cell r="E46">
            <v>2.82</v>
          </cell>
          <cell r="F46" t="str">
            <v>triangular</v>
          </cell>
          <cell r="G46">
            <v>2.2559999999999998</v>
          </cell>
          <cell r="H46">
            <v>2.82</v>
          </cell>
          <cell r="I46">
            <v>3.3839999999999999</v>
          </cell>
        </row>
        <row r="47">
          <cell r="E47">
            <v>1.2500000000000001E-2</v>
          </cell>
          <cell r="F47" t="str">
            <v>triangular</v>
          </cell>
          <cell r="G47">
            <v>0.01</v>
          </cell>
          <cell r="H47">
            <v>1.2500000000000001E-2</v>
          </cell>
          <cell r="I47">
            <v>1.4999999999999999E-2</v>
          </cell>
        </row>
        <row r="48">
          <cell r="E48">
            <v>3.4000000000000002E-2</v>
          </cell>
          <cell r="F48" t="str">
            <v>triangular</v>
          </cell>
          <cell r="G48">
            <v>2.7199999999999998E-2</v>
          </cell>
          <cell r="H48">
            <v>3.4000000000000002E-2</v>
          </cell>
          <cell r="I48">
            <v>4.0800000000000003E-2</v>
          </cell>
        </row>
        <row r="49">
          <cell r="E49">
            <v>5.7000000000000002E-2</v>
          </cell>
          <cell r="F49" t="str">
            <v>triangular</v>
          </cell>
          <cell r="G49">
            <v>4.5600000000000002E-2</v>
          </cell>
          <cell r="H49">
            <v>5.7000000000000002E-2</v>
          </cell>
          <cell r="I49">
            <v>6.8400000000000002E-2</v>
          </cell>
        </row>
        <row r="50">
          <cell r="E50">
            <v>1.2030000000000001</v>
          </cell>
          <cell r="F50" t="str">
            <v>triangular</v>
          </cell>
          <cell r="G50">
            <v>0.96240000000000003</v>
          </cell>
          <cell r="H50">
            <v>1.2030000000000001</v>
          </cell>
          <cell r="I50">
            <v>1.4436</v>
          </cell>
        </row>
        <row r="51">
          <cell r="E51">
            <v>0.04</v>
          </cell>
          <cell r="F51" t="str">
            <v>triangular</v>
          </cell>
          <cell r="G51">
            <v>3.2000000000000001E-2</v>
          </cell>
          <cell r="H51">
            <v>0.04</v>
          </cell>
          <cell r="I51">
            <v>4.8000000000000001E-2</v>
          </cell>
        </row>
        <row r="52">
          <cell r="E52">
            <v>0.12</v>
          </cell>
          <cell r="F52" t="str">
            <v>triangular</v>
          </cell>
          <cell r="G52">
            <v>9.6000000000000002E-2</v>
          </cell>
          <cell r="H52">
            <v>0.12</v>
          </cell>
          <cell r="I52">
            <v>0.14399999999999999</v>
          </cell>
        </row>
        <row r="53">
          <cell r="E53">
            <v>0.04</v>
          </cell>
          <cell r="F53" t="str">
            <v>triangular</v>
          </cell>
          <cell r="G53">
            <v>3.2000000000000001E-2</v>
          </cell>
          <cell r="H53">
            <v>0.04</v>
          </cell>
          <cell r="I53">
            <v>4.8000000000000001E-2</v>
          </cell>
        </row>
        <row r="54">
          <cell r="E54">
            <v>1.01E-2</v>
          </cell>
          <cell r="F54" t="str">
            <v>triangular</v>
          </cell>
          <cell r="G54">
            <v>8.0800000000000004E-3</v>
          </cell>
          <cell r="H54">
            <v>1.01E-2</v>
          </cell>
          <cell r="I54">
            <v>1.21199999999999E-2</v>
          </cell>
        </row>
        <row r="55">
          <cell r="E55">
            <v>0.58899999999999997</v>
          </cell>
          <cell r="F55" t="str">
            <v>triangular</v>
          </cell>
          <cell r="G55">
            <v>0.47120000000000001</v>
          </cell>
          <cell r="H55">
            <v>0.58899999999999997</v>
          </cell>
          <cell r="I55">
            <v>0.70679999999999998</v>
          </cell>
        </row>
        <row r="56">
          <cell r="E56">
            <v>8.0000000000000002E-3</v>
          </cell>
          <cell r="F56" t="str">
            <v>triangular</v>
          </cell>
          <cell r="G56">
            <v>6.4000000000000003E-3</v>
          </cell>
          <cell r="H56">
            <v>8.0000000000000002E-3</v>
          </cell>
          <cell r="I56">
            <v>9.5999999999999992E-3</v>
          </cell>
        </row>
        <row r="57">
          <cell r="E57">
            <v>9.9999999999999995E-7</v>
          </cell>
          <cell r="F57" t="str">
            <v>triangular</v>
          </cell>
          <cell r="G57">
            <v>7.9999999999999996E-7</v>
          </cell>
          <cell r="H57">
            <v>9.9999999999999995E-7</v>
          </cell>
          <cell r="I57">
            <v>1.1999999999999999E-6</v>
          </cell>
        </row>
        <row r="58">
          <cell r="E58">
            <v>7.51E-2</v>
          </cell>
          <cell r="F58" t="str">
            <v>triangular</v>
          </cell>
          <cell r="G58">
            <v>6.0080000000000001E-2</v>
          </cell>
          <cell r="H58">
            <v>7.51E-2</v>
          </cell>
          <cell r="I58">
            <v>9.0119999999999895E-2</v>
          </cell>
        </row>
        <row r="59">
          <cell r="E59">
            <v>13</v>
          </cell>
          <cell r="F59" t="str">
            <v>triangular</v>
          </cell>
          <cell r="G59">
            <v>10.4</v>
          </cell>
          <cell r="H59">
            <v>13</v>
          </cell>
          <cell r="I59">
            <v>15.6</v>
          </cell>
        </row>
        <row r="60">
          <cell r="E60">
            <v>25</v>
          </cell>
          <cell r="F60" t="str">
            <v>triangular</v>
          </cell>
          <cell r="G60">
            <v>20</v>
          </cell>
          <cell r="H60">
            <v>25</v>
          </cell>
          <cell r="I60">
            <v>30</v>
          </cell>
        </row>
        <row r="61">
          <cell r="E61">
            <v>3.9899999999999996E-3</v>
          </cell>
          <cell r="F61" t="str">
            <v>triangular</v>
          </cell>
          <cell r="G61">
            <v>3.192E-3</v>
          </cell>
          <cell r="H61">
            <v>3.9899999999999996E-3</v>
          </cell>
          <cell r="I61">
            <v>4.7879999999999997E-3</v>
          </cell>
        </row>
        <row r="62">
          <cell r="E62">
            <v>0.06</v>
          </cell>
          <cell r="F62" t="str">
            <v>triangular</v>
          </cell>
          <cell r="G62">
            <v>4.8000000000000001E-2</v>
          </cell>
          <cell r="H62">
            <v>0.06</v>
          </cell>
          <cell r="I62">
            <v>7.1999999999999995E-2</v>
          </cell>
        </row>
        <row r="63">
          <cell r="E63">
            <v>0.02</v>
          </cell>
          <cell r="F63" t="str">
            <v>triangular</v>
          </cell>
          <cell r="G63">
            <v>1.6E-2</v>
          </cell>
          <cell r="H63">
            <v>0.02</v>
          </cell>
          <cell r="I63">
            <v>2.4E-2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5"/>
  <sheetViews>
    <sheetView tabSelected="1" zoomScale="70" zoomScaleNormal="70" workbookViewId="0">
      <selection activeCell="H15" sqref="H15"/>
    </sheetView>
  </sheetViews>
  <sheetFormatPr defaultRowHeight="14.5" x14ac:dyDescent="0.35"/>
  <cols>
    <col min="1" max="1" width="40.81640625" customWidth="1"/>
    <col min="2" max="2" width="16.90625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20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20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  <c r="P2">
        <f>IF(E2=[1]Sheet1!E2,1,0)</f>
        <v>1</v>
      </c>
      <c r="Q2">
        <f>IF(F2=[1]Sheet1!F2,1,0)</f>
        <v>1</v>
      </c>
      <c r="R2">
        <f>IF(G2=[1]Sheet1!G2,1,0)</f>
        <v>1</v>
      </c>
      <c r="S2">
        <f>IF(H2=[1]Sheet1!H2,1,0)</f>
        <v>1</v>
      </c>
      <c r="T2">
        <f>IF(I2=[1]Sheet1!I2,1,0)</f>
        <v>1</v>
      </c>
    </row>
    <row r="3" spans="1:20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  <c r="P3">
        <f>IF(E3=[1]Sheet1!E3,1,0)</f>
        <v>1</v>
      </c>
      <c r="Q3">
        <f>IF(F3=[1]Sheet1!F3,1,0)</f>
        <v>1</v>
      </c>
      <c r="R3">
        <f>IF(G3=[1]Sheet1!G3,1,0)</f>
        <v>1</v>
      </c>
      <c r="S3">
        <f>IF(H3=[1]Sheet1!H3,1,0)</f>
        <v>1</v>
      </c>
      <c r="T3">
        <f>IF(I3=[1]Sheet1!I3,1,0)</f>
        <v>1</v>
      </c>
    </row>
    <row r="4" spans="1:20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  <c r="P4">
        <f>IF(E4=[1]Sheet1!E4,1,0)</f>
        <v>1</v>
      </c>
      <c r="Q4">
        <f>IF(F4=[1]Sheet1!F4,1,0)</f>
        <v>1</v>
      </c>
      <c r="R4">
        <f>IF(G4=[1]Sheet1!G4,1,0)</f>
        <v>1</v>
      </c>
      <c r="S4">
        <f>IF(H4=[1]Sheet1!H4,1,0)</f>
        <v>1</v>
      </c>
      <c r="T4">
        <f>IF(I4=[1]Sheet1!I4,1,0)</f>
        <v>1</v>
      </c>
    </row>
    <row r="5" spans="1:20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  <c r="P5">
        <f>IF(E5=[1]Sheet1!E5,1,0)</f>
        <v>1</v>
      </c>
      <c r="Q5">
        <f>IF(F5=[1]Sheet1!F5,1,0)</f>
        <v>1</v>
      </c>
      <c r="R5">
        <f>IF(G5=[1]Sheet1!G5,1,0)</f>
        <v>1</v>
      </c>
      <c r="S5">
        <f>IF(H5=[1]Sheet1!H5,1,0)</f>
        <v>1</v>
      </c>
      <c r="T5">
        <f>IF(I5=[1]Sheet1!I5,1,0)</f>
        <v>1</v>
      </c>
    </row>
    <row r="6" spans="1:20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3" si="0">E6*0.8</f>
        <v>0.35920000000000002</v>
      </c>
      <c r="H6" s="4"/>
      <c r="I6" s="4">
        <f t="shared" ref="I6:I13" si="1">1.2*E6</f>
        <v>0.53879999999999995</v>
      </c>
      <c r="J6" s="4"/>
      <c r="K6" s="4" t="s">
        <v>43</v>
      </c>
      <c r="P6">
        <f>IF(E6=[1]Sheet1!E6,1,0)</f>
        <v>1</v>
      </c>
      <c r="Q6">
        <f>IF(F6=[1]Sheet1!F6,1,0)</f>
        <v>1</v>
      </c>
      <c r="R6">
        <f>IF(G6=[1]Sheet1!G6,1,0)</f>
        <v>1</v>
      </c>
      <c r="S6">
        <f>IF(H6=[1]Sheet1!H6,1,0)</f>
        <v>1</v>
      </c>
      <c r="T6">
        <f>IF(I6=[1]Sheet1!I6,1,0)</f>
        <v>1</v>
      </c>
    </row>
    <row r="7" spans="1:20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  <c r="P7">
        <f>IF(E7=[1]Sheet1!E7,1,0)</f>
        <v>1</v>
      </c>
      <c r="Q7">
        <f>IF(F7=[1]Sheet1!F7,1,0)</f>
        <v>1</v>
      </c>
      <c r="R7">
        <f>IF(G7=[1]Sheet1!G7,1,0)</f>
        <v>1</v>
      </c>
      <c r="S7">
        <f>IF(H7=[1]Sheet1!H7,1,0)</f>
        <v>1</v>
      </c>
      <c r="T7">
        <f>IF(I7=[1]Sheet1!I7,1,0)</f>
        <v>1</v>
      </c>
    </row>
    <row r="8" spans="1:20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  <c r="P8">
        <f>IF(E8=[1]Sheet1!E8,1,0)</f>
        <v>1</v>
      </c>
      <c r="Q8">
        <f>IF(F8=[1]Sheet1!F8,1,0)</f>
        <v>1</v>
      </c>
      <c r="R8">
        <f>IF(G8=[1]Sheet1!G8,1,0)</f>
        <v>1</v>
      </c>
      <c r="S8">
        <f>IF(H8=[1]Sheet1!H8,1,0)</f>
        <v>1</v>
      </c>
      <c r="T8">
        <f>IF(I8=[1]Sheet1!I8,1,0)</f>
        <v>1</v>
      </c>
    </row>
    <row r="9" spans="1:20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  <c r="P9">
        <f>IF(E9=[1]Sheet1!E9,1,0)</f>
        <v>1</v>
      </c>
      <c r="Q9">
        <f>IF(F9=[1]Sheet1!F9,1,0)</f>
        <v>1</v>
      </c>
      <c r="R9">
        <f>IF(G9=[1]Sheet1!G9,1,0)</f>
        <v>1</v>
      </c>
      <c r="S9">
        <f>IF(H9=[1]Sheet1!H9,1,0)</f>
        <v>1</v>
      </c>
      <c r="T9">
        <f>IF(I9=[1]Sheet1!I9,1,0)</f>
        <v>1</v>
      </c>
    </row>
    <row r="10" spans="1:20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  <c r="P10">
        <f>IF(E10=[1]Sheet1!E10,1,0)</f>
        <v>1</v>
      </c>
      <c r="Q10">
        <f>IF(F10=[1]Sheet1!F10,1,0)</f>
        <v>1</v>
      </c>
      <c r="R10">
        <f>IF(G10=[1]Sheet1!G10,1,0)</f>
        <v>1</v>
      </c>
      <c r="S10">
        <f>IF(H10=[1]Sheet1!H10,1,0)</f>
        <v>1</v>
      </c>
      <c r="T10">
        <f>IF(I10=[1]Sheet1!I10,1,0)</f>
        <v>1</v>
      </c>
    </row>
    <row r="11" spans="1:20" x14ac:dyDescent="0.35">
      <c r="A11" s="4" t="s">
        <v>190</v>
      </c>
      <c r="B11" s="4" t="s">
        <v>7</v>
      </c>
      <c r="C11" s="4" t="s">
        <v>20</v>
      </c>
      <c r="D11" s="4" t="s">
        <v>10</v>
      </c>
      <c r="E11" s="4">
        <v>0.12</v>
      </c>
      <c r="F11" s="4" t="s">
        <v>18</v>
      </c>
      <c r="G11" s="4">
        <f t="shared" si="0"/>
        <v>9.6000000000000002E-2</v>
      </c>
      <c r="H11" s="4"/>
      <c r="I11" s="4">
        <f t="shared" si="1"/>
        <v>0.14399999999999999</v>
      </c>
      <c r="J11" s="4"/>
      <c r="K11" s="4" t="s">
        <v>182</v>
      </c>
      <c r="P11">
        <f>IF(E11=[1]Sheet1!E11,1,0)</f>
        <v>1</v>
      </c>
      <c r="Q11">
        <f>IF(F11=[1]Sheet1!F11,1,0)</f>
        <v>1</v>
      </c>
      <c r="R11">
        <f>IF(G11=[1]Sheet1!G11,1,0)</f>
        <v>1</v>
      </c>
      <c r="S11">
        <f>IF(H11=[1]Sheet1!H11,1,0)</f>
        <v>1</v>
      </c>
      <c r="T11">
        <f>IF(I11=[1]Sheet1!I11,1,0)</f>
        <v>1</v>
      </c>
    </row>
    <row r="12" spans="1:20" x14ac:dyDescent="0.35">
      <c r="A12" s="4" t="s">
        <v>191</v>
      </c>
      <c r="B12" s="4" t="s">
        <v>7</v>
      </c>
      <c r="C12" s="4" t="s">
        <v>20</v>
      </c>
      <c r="D12" s="4" t="s">
        <v>10</v>
      </c>
      <c r="E12" s="4">
        <v>1.49</v>
      </c>
      <c r="F12" s="4" t="s">
        <v>27</v>
      </c>
      <c r="G12" s="4">
        <v>0.95</v>
      </c>
      <c r="H12" s="4">
        <f>E12</f>
        <v>1.49</v>
      </c>
      <c r="I12" s="4">
        <v>1.7250000000000001</v>
      </c>
      <c r="J12" s="4"/>
      <c r="K12" s="4" t="s">
        <v>183</v>
      </c>
      <c r="P12">
        <f>IF(E12=[1]Sheet1!E12,1,0)</f>
        <v>0</v>
      </c>
      <c r="Q12">
        <f>IF(F12=[1]Sheet1!F12,1,0)</f>
        <v>1</v>
      </c>
      <c r="R12">
        <f>IF(G12=[1]Sheet1!G12,1,0)</f>
        <v>0</v>
      </c>
      <c r="S12">
        <f>IF(H12=[1]Sheet1!H12,1,0)</f>
        <v>0</v>
      </c>
      <c r="T12">
        <f>IF(I12=[1]Sheet1!I12,1,0)</f>
        <v>0</v>
      </c>
    </row>
    <row r="13" spans="1:20" x14ac:dyDescent="0.35">
      <c r="A13" s="4" t="s">
        <v>186</v>
      </c>
      <c r="B13" s="4" t="s">
        <v>7</v>
      </c>
      <c r="C13" s="4" t="s">
        <v>20</v>
      </c>
      <c r="D13" s="4" t="s">
        <v>10</v>
      </c>
      <c r="E13" s="4">
        <v>3.2</v>
      </c>
      <c r="F13" s="4" t="s">
        <v>18</v>
      </c>
      <c r="G13" s="4">
        <f t="shared" si="0"/>
        <v>2.5600000000000005</v>
      </c>
      <c r="H13" s="4"/>
      <c r="I13" s="4">
        <f t="shared" si="1"/>
        <v>3.84</v>
      </c>
      <c r="J13" s="4"/>
      <c r="K13" s="4" t="s">
        <v>184</v>
      </c>
      <c r="P13">
        <f>IF(E13=[1]Sheet1!E13,1,0)</f>
        <v>0</v>
      </c>
      <c r="Q13">
        <f>IF(F13=[1]Sheet1!F13,1,0)</f>
        <v>1</v>
      </c>
      <c r="R13">
        <f>IF(G13=[1]Sheet1!G13,1,0)</f>
        <v>0</v>
      </c>
      <c r="S13">
        <f>IF(H13=[1]Sheet1!H13,1,0)</f>
        <v>1</v>
      </c>
      <c r="T13">
        <f>IF(I13=[1]Sheet1!I13,1,0)</f>
        <v>0</v>
      </c>
    </row>
    <row r="14" spans="1:20" x14ac:dyDescent="0.35">
      <c r="A14" s="6" t="s">
        <v>35</v>
      </c>
      <c r="B14" s="6" t="s">
        <v>7</v>
      </c>
      <c r="C14" s="6" t="s">
        <v>20</v>
      </c>
      <c r="D14" s="6" t="s">
        <v>10</v>
      </c>
      <c r="E14" s="6">
        <v>0.28599999999999998</v>
      </c>
      <c r="F14" s="6" t="s">
        <v>27</v>
      </c>
      <c r="G14" s="6">
        <v>0.17499999999999999</v>
      </c>
      <c r="H14" s="6">
        <v>0.28599999999999998</v>
      </c>
      <c r="I14" s="6">
        <v>0.315</v>
      </c>
      <c r="J14" s="6"/>
      <c r="K14" s="6" t="s">
        <v>85</v>
      </c>
      <c r="P14">
        <f>IF(E14=[1]Sheet1!E14,1,0)</f>
        <v>0</v>
      </c>
      <c r="Q14">
        <f>IF(F14=[1]Sheet1!F14,1,0)</f>
        <v>0</v>
      </c>
      <c r="R14">
        <f>IF(G14=[1]Sheet1!G14,1,0)</f>
        <v>0</v>
      </c>
      <c r="S14">
        <f>IF(H14=[1]Sheet1!H14,1,0)</f>
        <v>0</v>
      </c>
      <c r="T14">
        <f>IF(I14=[1]Sheet1!I14,1,0)</f>
        <v>0</v>
      </c>
    </row>
    <row r="15" spans="1:20" x14ac:dyDescent="0.35">
      <c r="A15" s="6" t="s">
        <v>36</v>
      </c>
      <c r="B15" s="6" t="s">
        <v>7</v>
      </c>
      <c r="C15" s="6" t="s">
        <v>20</v>
      </c>
      <c r="D15" s="6" t="s">
        <v>10</v>
      </c>
      <c r="E15" s="6">
        <v>0.10355</v>
      </c>
      <c r="F15" s="6" t="s">
        <v>18</v>
      </c>
      <c r="G15" s="6">
        <f>E15*0.8</f>
        <v>8.2840000000000011E-2</v>
      </c>
      <c r="H15" s="6"/>
      <c r="I15" s="6">
        <f>E15*1.2</f>
        <v>0.12426</v>
      </c>
      <c r="J15" s="6"/>
      <c r="K15" s="6" t="s">
        <v>86</v>
      </c>
      <c r="P15">
        <f>IF(E15=[1]Sheet1!E15,1,0)</f>
        <v>0</v>
      </c>
      <c r="Q15">
        <f>IF(F15=[1]Sheet1!F15,1,0)</f>
        <v>1</v>
      </c>
      <c r="R15">
        <f>IF(G15=[1]Sheet1!G15,1,0)</f>
        <v>0</v>
      </c>
      <c r="S15">
        <f>IF(H15=[1]Sheet1!H15,1,0)</f>
        <v>1</v>
      </c>
      <c r="T15">
        <f>IF(I15=[1]Sheet1!I15,1,0)</f>
        <v>0</v>
      </c>
    </row>
    <row r="16" spans="1:20" x14ac:dyDescent="0.35">
      <c r="A16" s="3" t="s">
        <v>31</v>
      </c>
      <c r="B16" s="3" t="s">
        <v>7</v>
      </c>
      <c r="C16" s="3" t="s">
        <v>20</v>
      </c>
      <c r="D16" s="3" t="s">
        <v>8</v>
      </c>
      <c r="E16" s="3">
        <v>0.21</v>
      </c>
      <c r="F16" s="3" t="s">
        <v>18</v>
      </c>
      <c r="G16" s="3">
        <v>0.15</v>
      </c>
      <c r="H16" s="3"/>
      <c r="I16" s="3">
        <v>0.28000000000000003</v>
      </c>
      <c r="J16" s="3"/>
      <c r="K16" s="3" t="s">
        <v>34</v>
      </c>
      <c r="P16">
        <f>IF(E16=[1]Sheet1!E16,1,0)</f>
        <v>0</v>
      </c>
      <c r="Q16">
        <f>IF(F16=[1]Sheet1!F16,1,0)</f>
        <v>0</v>
      </c>
      <c r="R16">
        <f>IF(G16=[1]Sheet1!G16,1,0)</f>
        <v>0</v>
      </c>
      <c r="S16">
        <f>IF(H16=[1]Sheet1!H16,1,0)</f>
        <v>0</v>
      </c>
      <c r="T16">
        <f>IF(I16=[1]Sheet1!I16,1,0)</f>
        <v>0</v>
      </c>
    </row>
    <row r="17" spans="1:20" x14ac:dyDescent="0.35">
      <c r="A17" s="3" t="s">
        <v>32</v>
      </c>
      <c r="B17" s="3" t="s">
        <v>7</v>
      </c>
      <c r="C17" s="3" t="s">
        <v>20</v>
      </c>
      <c r="D17" s="3" t="s">
        <v>8</v>
      </c>
      <c r="E17" s="3">
        <v>0.15</v>
      </c>
      <c r="F17" s="3" t="s">
        <v>18</v>
      </c>
      <c r="G17" s="3">
        <f>0.8*E17</f>
        <v>0.12</v>
      </c>
      <c r="H17" s="3"/>
      <c r="I17" s="3">
        <f>1.2*E17</f>
        <v>0.18</v>
      </c>
      <c r="J17" s="3"/>
      <c r="K17" s="3" t="s">
        <v>33</v>
      </c>
      <c r="P17">
        <f>IF(E17=[1]Sheet1!E17,1,0)</f>
        <v>0</v>
      </c>
      <c r="Q17">
        <f>IF(F17=[1]Sheet1!F17,1,0)</f>
        <v>0</v>
      </c>
      <c r="R17">
        <f>IF(G17=[1]Sheet1!G17,1,0)</f>
        <v>0</v>
      </c>
      <c r="S17">
        <f>IF(H17=[1]Sheet1!H17,1,0)</f>
        <v>0</v>
      </c>
      <c r="T17">
        <f>IF(I17=[1]Sheet1!I17,1,0)</f>
        <v>0</v>
      </c>
    </row>
    <row r="18" spans="1:20" x14ac:dyDescent="0.35">
      <c r="A18" s="3" t="s">
        <v>185</v>
      </c>
      <c r="B18" s="3" t="s">
        <v>39</v>
      </c>
      <c r="C18" s="3" t="s">
        <v>21</v>
      </c>
      <c r="D18" s="3" t="s">
        <v>192</v>
      </c>
      <c r="E18" s="3">
        <v>0.72</v>
      </c>
      <c r="F18" s="3" t="s">
        <v>27</v>
      </c>
      <c r="G18" s="3">
        <f>0.8*H18</f>
        <v>0.57599999999999996</v>
      </c>
      <c r="H18" s="3">
        <f>E18</f>
        <v>0.72</v>
      </c>
      <c r="I18" s="3">
        <f>1.2*H18</f>
        <v>0.86399999999999999</v>
      </c>
      <c r="J18" s="3"/>
      <c r="K18" s="3" t="s">
        <v>193</v>
      </c>
      <c r="P18">
        <f>IF(E18=[1]Sheet1!E18,1,0)</f>
        <v>0</v>
      </c>
      <c r="Q18">
        <f>IF(F18=[1]Sheet1!F18,1,0)</f>
        <v>0</v>
      </c>
      <c r="R18">
        <f>IF(G18=[1]Sheet1!G18,1,0)</f>
        <v>0</v>
      </c>
      <c r="S18">
        <f>IF(H18=[1]Sheet1!H18,1,0)</f>
        <v>0</v>
      </c>
      <c r="T18">
        <f>IF(I18=[1]Sheet1!I18,1,0)</f>
        <v>0</v>
      </c>
    </row>
    <row r="19" spans="1:20" x14ac:dyDescent="0.35">
      <c r="A19" s="3" t="s">
        <v>38</v>
      </c>
      <c r="B19" s="3" t="s">
        <v>39</v>
      </c>
      <c r="C19" s="3" t="s">
        <v>21</v>
      </c>
      <c r="D19" s="3" t="s">
        <v>40</v>
      </c>
      <c r="E19" s="3">
        <v>56972</v>
      </c>
      <c r="F19" s="3" t="s">
        <v>27</v>
      </c>
      <c r="G19" s="3">
        <f>0.8*H19</f>
        <v>45577.600000000006</v>
      </c>
      <c r="H19" s="3">
        <f>E19</f>
        <v>56972</v>
      </c>
      <c r="I19" s="3">
        <f>1.2*H19</f>
        <v>68366.399999999994</v>
      </c>
      <c r="J19" s="3"/>
      <c r="K19" s="3" t="s">
        <v>41</v>
      </c>
      <c r="P19">
        <f>IF(E19=[1]Sheet1!E19,1,0)</f>
        <v>0</v>
      </c>
      <c r="Q19">
        <f>IF(F19=[1]Sheet1!F19,1,0)</f>
        <v>1</v>
      </c>
      <c r="R19">
        <f>IF(G19=[1]Sheet1!G19,1,0)</f>
        <v>0</v>
      </c>
      <c r="S19">
        <f>IF(H19=[1]Sheet1!H19,1,0)</f>
        <v>0</v>
      </c>
      <c r="T19">
        <f>IF(I19=[1]Sheet1!I19,1,0)</f>
        <v>0</v>
      </c>
    </row>
    <row r="20" spans="1:20" x14ac:dyDescent="0.35">
      <c r="A20" s="3" t="s">
        <v>187</v>
      </c>
      <c r="B20" s="3" t="s">
        <v>188</v>
      </c>
      <c r="C20" s="3" t="s">
        <v>21</v>
      </c>
      <c r="D20" s="3" t="s">
        <v>12</v>
      </c>
      <c r="E20" s="3">
        <v>2</v>
      </c>
      <c r="F20" s="3" t="s">
        <v>18</v>
      </c>
      <c r="G20" s="3">
        <v>1</v>
      </c>
      <c r="H20" s="3"/>
      <c r="I20" s="3">
        <v>3</v>
      </c>
      <c r="J20" s="3"/>
      <c r="K20" s="3" t="s">
        <v>189</v>
      </c>
      <c r="P20">
        <f>IF(E20=[1]Sheet1!E20,1,0)</f>
        <v>0</v>
      </c>
      <c r="Q20">
        <f>IF(F20=[1]Sheet1!F20,1,0)</f>
        <v>0</v>
      </c>
      <c r="R20">
        <f>IF(G20=[1]Sheet1!G20,1,0)</f>
        <v>0</v>
      </c>
      <c r="S20">
        <f>IF(H20=[1]Sheet1!H20,1,0)</f>
        <v>0</v>
      </c>
      <c r="T20">
        <f>IF(I20=[1]Sheet1!I20,1,0)</f>
        <v>0</v>
      </c>
    </row>
    <row r="21" spans="1:20" x14ac:dyDescent="0.35">
      <c r="A21" s="3" t="s">
        <v>52</v>
      </c>
      <c r="B21" s="3" t="s">
        <v>13</v>
      </c>
      <c r="C21" s="3" t="s">
        <v>21</v>
      </c>
      <c r="D21" s="3" t="s">
        <v>14</v>
      </c>
      <c r="E21" s="3">
        <v>156</v>
      </c>
      <c r="F21" s="3" t="s">
        <v>27</v>
      </c>
      <c r="G21" s="3">
        <f>E21*0.8</f>
        <v>124.80000000000001</v>
      </c>
      <c r="H21" s="3">
        <f>E21</f>
        <v>156</v>
      </c>
      <c r="I21" s="3">
        <f>E21*1.2</f>
        <v>187.2</v>
      </c>
      <c r="J21" s="3"/>
      <c r="K21" s="3" t="s">
        <v>54</v>
      </c>
      <c r="P21">
        <f>IF(E21=[1]Sheet1!E21,1,0)</f>
        <v>0</v>
      </c>
      <c r="Q21">
        <f>IF(F21=[1]Sheet1!F21,1,0)</f>
        <v>1</v>
      </c>
      <c r="R21">
        <f>IF(G21=[1]Sheet1!G21,1,0)</f>
        <v>0</v>
      </c>
      <c r="S21">
        <f>IF(H21=[1]Sheet1!H21,1,0)</f>
        <v>0</v>
      </c>
      <c r="T21">
        <f>IF(I21=[1]Sheet1!I21,1,0)</f>
        <v>0</v>
      </c>
    </row>
    <row r="22" spans="1:20" x14ac:dyDescent="0.35">
      <c r="A22" s="3" t="s">
        <v>53</v>
      </c>
      <c r="B22" s="3" t="s">
        <v>13</v>
      </c>
      <c r="C22" s="3" t="s">
        <v>21</v>
      </c>
      <c r="D22" s="3" t="s">
        <v>14</v>
      </c>
      <c r="E22" s="3">
        <v>156</v>
      </c>
      <c r="F22" s="3" t="s">
        <v>27</v>
      </c>
      <c r="G22" s="3">
        <f>E22*0.8</f>
        <v>124.80000000000001</v>
      </c>
      <c r="H22" s="3">
        <f>E22</f>
        <v>156</v>
      </c>
      <c r="I22" s="3">
        <f>E22*1.2</f>
        <v>187.2</v>
      </c>
      <c r="J22" s="3"/>
      <c r="K22" s="3" t="s">
        <v>55</v>
      </c>
      <c r="P22">
        <f>IF(E22=[1]Sheet1!E22,1,0)</f>
        <v>0</v>
      </c>
      <c r="Q22">
        <f>IF(F22=[1]Sheet1!F22,1,0)</f>
        <v>1</v>
      </c>
      <c r="R22">
        <f>IF(G22=[1]Sheet1!G22,1,0)</f>
        <v>0</v>
      </c>
      <c r="S22">
        <f>IF(H22=[1]Sheet1!H22,1,0)</f>
        <v>0</v>
      </c>
      <c r="T22">
        <f>IF(I22=[1]Sheet1!I22,1,0)</f>
        <v>0</v>
      </c>
    </row>
    <row r="23" spans="1:20" x14ac:dyDescent="0.35">
      <c r="A23" s="3" t="s">
        <v>121</v>
      </c>
      <c r="B23" s="3" t="s">
        <v>147</v>
      </c>
      <c r="C23" s="3" t="s">
        <v>21</v>
      </c>
      <c r="D23" s="3" t="s">
        <v>65</v>
      </c>
      <c r="E23" s="3">
        <v>1.43</v>
      </c>
      <c r="F23" s="3" t="s">
        <v>66</v>
      </c>
      <c r="G23" s="3">
        <v>1.1439999999999999</v>
      </c>
      <c r="H23" s="3">
        <v>1.43</v>
      </c>
      <c r="I23" s="3">
        <v>1.716</v>
      </c>
      <c r="J23" s="3"/>
      <c r="K23" s="3" t="s">
        <v>62</v>
      </c>
      <c r="P23">
        <f>IF(E23=[1]Sheet1!E23,1,0)</f>
        <v>0</v>
      </c>
      <c r="Q23">
        <f>IF(F23=[1]Sheet1!F23,1,0)</f>
        <v>1</v>
      </c>
      <c r="R23">
        <f>IF(G23=[1]Sheet1!G23,1,0)</f>
        <v>0</v>
      </c>
      <c r="S23">
        <f>IF(H23=[1]Sheet1!H23,1,0)</f>
        <v>0</v>
      </c>
      <c r="T23">
        <f>IF(I23=[1]Sheet1!I23,1,0)</f>
        <v>0</v>
      </c>
    </row>
    <row r="24" spans="1:20" x14ac:dyDescent="0.35">
      <c r="A24" s="3" t="s">
        <v>104</v>
      </c>
      <c r="B24" s="3" t="s">
        <v>147</v>
      </c>
      <c r="C24" s="3" t="s">
        <v>21</v>
      </c>
      <c r="D24" s="3" t="s">
        <v>67</v>
      </c>
      <c r="E24" s="3">
        <v>0.94</v>
      </c>
      <c r="F24" s="3" t="s">
        <v>66</v>
      </c>
      <c r="G24" s="3">
        <v>0.752</v>
      </c>
      <c r="H24" s="3">
        <v>0.94</v>
      </c>
      <c r="I24" s="3">
        <v>1.1279999999999999</v>
      </c>
      <c r="J24" s="3"/>
      <c r="K24" s="3" t="s">
        <v>87</v>
      </c>
      <c r="P24">
        <f>IF(E24=[1]Sheet1!E24,1,0)</f>
        <v>0</v>
      </c>
      <c r="Q24">
        <f>IF(F24=[1]Sheet1!F24,1,0)</f>
        <v>1</v>
      </c>
      <c r="R24">
        <f>IF(G24=[1]Sheet1!G24,1,0)</f>
        <v>0</v>
      </c>
      <c r="S24">
        <f>IF(H24=[1]Sheet1!H24,1,0)</f>
        <v>0</v>
      </c>
      <c r="T24">
        <f>IF(I24=[1]Sheet1!I24,1,0)</f>
        <v>0</v>
      </c>
    </row>
    <row r="25" spans="1:20" x14ac:dyDescent="0.35">
      <c r="A25" s="3" t="s">
        <v>122</v>
      </c>
      <c r="B25" s="3" t="s">
        <v>147</v>
      </c>
      <c r="C25" s="3" t="s">
        <v>21</v>
      </c>
      <c r="D25" s="3" t="s">
        <v>65</v>
      </c>
      <c r="E25" s="3">
        <v>0.58399999999999996</v>
      </c>
      <c r="F25" s="3" t="s">
        <v>66</v>
      </c>
      <c r="G25" s="3">
        <v>0.4672</v>
      </c>
      <c r="H25" s="3">
        <v>0.58399999999999996</v>
      </c>
      <c r="I25" s="3">
        <v>0.70079999999999998</v>
      </c>
      <c r="J25" s="3"/>
      <c r="K25" s="3" t="s">
        <v>58</v>
      </c>
      <c r="P25">
        <f>IF(E25=[1]Sheet1!E25,1,0)</f>
        <v>0</v>
      </c>
      <c r="Q25">
        <f>IF(F25=[1]Sheet1!F25,1,0)</f>
        <v>1</v>
      </c>
      <c r="R25">
        <f>IF(G25=[1]Sheet1!G25,1,0)</f>
        <v>0</v>
      </c>
      <c r="S25">
        <f>IF(H25=[1]Sheet1!H25,1,0)</f>
        <v>0</v>
      </c>
      <c r="T25">
        <f>IF(I25=[1]Sheet1!I25,1,0)</f>
        <v>0</v>
      </c>
    </row>
    <row r="26" spans="1:20" x14ac:dyDescent="0.35">
      <c r="A26" s="3" t="s">
        <v>105</v>
      </c>
      <c r="B26" s="3" t="s">
        <v>147</v>
      </c>
      <c r="C26" s="3" t="s">
        <v>21</v>
      </c>
      <c r="D26" s="3" t="s">
        <v>67</v>
      </c>
      <c r="E26" s="3">
        <v>1.1599999999999999E-2</v>
      </c>
      <c r="F26" s="3" t="s">
        <v>66</v>
      </c>
      <c r="G26" s="3">
        <v>9.2800000000000001E-3</v>
      </c>
      <c r="H26" s="3">
        <v>1.1599999999999999E-2</v>
      </c>
      <c r="I26" s="3">
        <v>1.3919999999999899E-2</v>
      </c>
      <c r="J26" s="3"/>
      <c r="K26" s="3" t="s">
        <v>88</v>
      </c>
      <c r="P26">
        <f>IF(E26=[1]Sheet1!E26,1,0)</f>
        <v>0</v>
      </c>
      <c r="Q26">
        <f>IF(F26=[1]Sheet1!F26,1,0)</f>
        <v>1</v>
      </c>
      <c r="R26">
        <f>IF(G26=[1]Sheet1!G26,1,0)</f>
        <v>0</v>
      </c>
      <c r="S26">
        <f>IF(H26=[1]Sheet1!H26,1,0)</f>
        <v>0</v>
      </c>
      <c r="T26">
        <f>IF(I26=[1]Sheet1!I26,1,0)</f>
        <v>0</v>
      </c>
    </row>
    <row r="27" spans="1:20" x14ac:dyDescent="0.35">
      <c r="A27" s="3" t="s">
        <v>123</v>
      </c>
      <c r="B27" s="3" t="s">
        <v>147</v>
      </c>
      <c r="C27" s="3" t="s">
        <v>21</v>
      </c>
      <c r="D27" s="3" t="s">
        <v>65</v>
      </c>
      <c r="E27" s="3">
        <v>47.1</v>
      </c>
      <c r="F27" s="3" t="s">
        <v>66</v>
      </c>
      <c r="G27" s="3">
        <v>37.68</v>
      </c>
      <c r="H27" s="3">
        <v>47.1</v>
      </c>
      <c r="I27" s="3">
        <v>56.52</v>
      </c>
      <c r="J27" s="3"/>
      <c r="K27" s="3" t="s">
        <v>57</v>
      </c>
      <c r="P27">
        <f>IF(E27=[1]Sheet1!E27,1,0)</f>
        <v>0</v>
      </c>
      <c r="Q27">
        <f>IF(F27=[1]Sheet1!F27,1,0)</f>
        <v>1</v>
      </c>
      <c r="R27">
        <f>IF(G27=[1]Sheet1!G27,1,0)</f>
        <v>0</v>
      </c>
      <c r="S27">
        <f>IF(H27=[1]Sheet1!H27,1,0)</f>
        <v>0</v>
      </c>
      <c r="T27">
        <f>IF(I27=[1]Sheet1!I27,1,0)</f>
        <v>0</v>
      </c>
    </row>
    <row r="28" spans="1:20" x14ac:dyDescent="0.35">
      <c r="A28" s="3" t="s">
        <v>106</v>
      </c>
      <c r="B28" s="3" t="s">
        <v>147</v>
      </c>
      <c r="C28" s="3" t="s">
        <v>21</v>
      </c>
      <c r="D28" s="3" t="s">
        <v>67</v>
      </c>
      <c r="E28" s="3">
        <v>14.2</v>
      </c>
      <c r="F28" s="3" t="s">
        <v>66</v>
      </c>
      <c r="G28" s="3">
        <v>11.36</v>
      </c>
      <c r="H28" s="3">
        <v>14.2</v>
      </c>
      <c r="I28" s="3">
        <v>17.04</v>
      </c>
      <c r="J28" s="3"/>
      <c r="K28" s="3" t="s">
        <v>89</v>
      </c>
      <c r="P28">
        <f>IF(E28=[1]Sheet1!E28,1,0)</f>
        <v>0</v>
      </c>
      <c r="Q28">
        <f>IF(F28=[1]Sheet1!F28,1,0)</f>
        <v>1</v>
      </c>
      <c r="R28">
        <f>IF(G28=[1]Sheet1!G28,1,0)</f>
        <v>0</v>
      </c>
      <c r="S28">
        <f>IF(H28=[1]Sheet1!H28,1,0)</f>
        <v>0</v>
      </c>
      <c r="T28">
        <f>IF(I28=[1]Sheet1!I28,1,0)</f>
        <v>0</v>
      </c>
    </row>
    <row r="29" spans="1:20" x14ac:dyDescent="0.35">
      <c r="A29" s="3" t="s">
        <v>107</v>
      </c>
      <c r="B29" s="3" t="s">
        <v>147</v>
      </c>
      <c r="C29" s="3" t="s">
        <v>21</v>
      </c>
      <c r="D29" s="3" t="s">
        <v>67</v>
      </c>
      <c r="E29" s="3">
        <v>0.12</v>
      </c>
      <c r="F29" s="3" t="s">
        <v>66</v>
      </c>
      <c r="G29" s="3">
        <v>9.6000000000000002E-2</v>
      </c>
      <c r="H29" s="3">
        <v>0.12</v>
      </c>
      <c r="I29" s="3">
        <v>0.14399999999999999</v>
      </c>
      <c r="J29" s="3"/>
      <c r="K29" s="3" t="s">
        <v>90</v>
      </c>
      <c r="P29">
        <f>IF(E29=[1]Sheet1!E29,1,0)</f>
        <v>1</v>
      </c>
      <c r="Q29">
        <f>IF(F29=[1]Sheet1!F29,1,0)</f>
        <v>1</v>
      </c>
      <c r="R29">
        <f>IF(G29=[1]Sheet1!G29,1,0)</f>
        <v>1</v>
      </c>
      <c r="S29">
        <f>IF(H29=[1]Sheet1!H29,1,0)</f>
        <v>1</v>
      </c>
      <c r="T29">
        <f>IF(I29=[1]Sheet1!I29,1,0)</f>
        <v>1</v>
      </c>
    </row>
    <row r="30" spans="1:20" x14ac:dyDescent="0.35">
      <c r="A30" s="3" t="s">
        <v>124</v>
      </c>
      <c r="B30" s="3" t="s">
        <v>147</v>
      </c>
      <c r="C30" s="3" t="s">
        <v>21</v>
      </c>
      <c r="D30" s="3" t="s">
        <v>65</v>
      </c>
      <c r="E30" s="3">
        <v>0.04</v>
      </c>
      <c r="F30" s="3" t="s">
        <v>66</v>
      </c>
      <c r="G30" s="3">
        <v>3.2000000000000001E-2</v>
      </c>
      <c r="H30" s="3">
        <v>0.04</v>
      </c>
      <c r="I30" s="3">
        <v>4.8000000000000001E-2</v>
      </c>
      <c r="J30" s="3"/>
      <c r="K30" s="3" t="s">
        <v>59</v>
      </c>
      <c r="P30">
        <f>IF(E30=[1]Sheet1!E30,1,0)</f>
        <v>1</v>
      </c>
      <c r="Q30">
        <f>IF(F30=[1]Sheet1!F30,1,0)</f>
        <v>1</v>
      </c>
      <c r="R30">
        <f>IF(G30=[1]Sheet1!G30,1,0)</f>
        <v>1</v>
      </c>
      <c r="S30">
        <f>IF(H30=[1]Sheet1!H30,1,0)</f>
        <v>1</v>
      </c>
      <c r="T30">
        <f>IF(I30=[1]Sheet1!I30,1,0)</f>
        <v>1</v>
      </c>
    </row>
    <row r="31" spans="1:20" x14ac:dyDescent="0.35">
      <c r="A31" s="3" t="s">
        <v>125</v>
      </c>
      <c r="B31" s="3" t="s">
        <v>147</v>
      </c>
      <c r="C31" s="3" t="s">
        <v>21</v>
      </c>
      <c r="D31" s="3" t="s">
        <v>65</v>
      </c>
      <c r="E31" s="3">
        <v>0.12</v>
      </c>
      <c r="F31" s="3" t="s">
        <v>66</v>
      </c>
      <c r="G31" s="3">
        <v>9.6000000000000002E-2</v>
      </c>
      <c r="H31" s="3">
        <v>0.12</v>
      </c>
      <c r="I31" s="3">
        <v>0.14399999999999999</v>
      </c>
      <c r="J31" s="3"/>
      <c r="K31" s="3" t="s">
        <v>60</v>
      </c>
      <c r="P31">
        <f>IF(E31=[1]Sheet1!E31,1,0)</f>
        <v>0</v>
      </c>
      <c r="Q31">
        <f>IF(F31=[1]Sheet1!F31,1,0)</f>
        <v>1</v>
      </c>
      <c r="R31">
        <f>IF(G31=[1]Sheet1!G31,1,0)</f>
        <v>0</v>
      </c>
      <c r="S31">
        <f>IF(H31=[1]Sheet1!H31,1,0)</f>
        <v>0</v>
      </c>
      <c r="T31">
        <f>IF(I31=[1]Sheet1!I31,1,0)</f>
        <v>0</v>
      </c>
    </row>
    <row r="32" spans="1:20" x14ac:dyDescent="0.35">
      <c r="A32" s="3" t="s">
        <v>126</v>
      </c>
      <c r="B32" s="3" t="s">
        <v>147</v>
      </c>
      <c r="C32" s="3" t="s">
        <v>21</v>
      </c>
      <c r="D32" s="3" t="s">
        <v>65</v>
      </c>
      <c r="E32" s="3">
        <v>0.04</v>
      </c>
      <c r="F32" s="3" t="s">
        <v>66</v>
      </c>
      <c r="G32" s="3">
        <v>3.2000000000000001E-2</v>
      </c>
      <c r="H32" s="3">
        <v>0.04</v>
      </c>
      <c r="I32" s="3">
        <v>4.8000000000000001E-2</v>
      </c>
      <c r="J32" s="3"/>
      <c r="K32" s="3" t="s">
        <v>61</v>
      </c>
      <c r="P32">
        <f>IF(E32=[1]Sheet1!E32,1,0)</f>
        <v>0</v>
      </c>
      <c r="Q32">
        <f>IF(F32=[1]Sheet1!F32,1,0)</f>
        <v>1</v>
      </c>
      <c r="R32">
        <f>IF(G32=[1]Sheet1!G32,1,0)</f>
        <v>0</v>
      </c>
      <c r="S32">
        <f>IF(H32=[1]Sheet1!H32,1,0)</f>
        <v>0</v>
      </c>
      <c r="T32">
        <f>IF(I32=[1]Sheet1!I32,1,0)</f>
        <v>0</v>
      </c>
    </row>
    <row r="33" spans="1:20" x14ac:dyDescent="0.35">
      <c r="A33" s="3" t="s">
        <v>127</v>
      </c>
      <c r="B33" s="3" t="s">
        <v>148</v>
      </c>
      <c r="C33" s="3" t="s">
        <v>21</v>
      </c>
      <c r="D33" s="3" t="s">
        <v>65</v>
      </c>
      <c r="E33" s="3">
        <v>0.501</v>
      </c>
      <c r="F33" s="3" t="s">
        <v>66</v>
      </c>
      <c r="G33" s="3">
        <v>0.40079999999999999</v>
      </c>
      <c r="H33" s="3">
        <v>0.501</v>
      </c>
      <c r="I33" s="3">
        <v>0.60119999999999996</v>
      </c>
      <c r="J33" s="3"/>
      <c r="K33" s="3" t="s">
        <v>56</v>
      </c>
      <c r="P33">
        <f>IF(E33=[1]Sheet1!E33,1,0)</f>
        <v>0</v>
      </c>
      <c r="Q33">
        <f>IF(F33=[1]Sheet1!F33,1,0)</f>
        <v>1</v>
      </c>
      <c r="R33">
        <f>IF(G33=[1]Sheet1!G33,1,0)</f>
        <v>0</v>
      </c>
      <c r="S33">
        <f>IF(H33=[1]Sheet1!H33,1,0)</f>
        <v>0</v>
      </c>
      <c r="T33">
        <f>IF(I33=[1]Sheet1!I33,1,0)</f>
        <v>0</v>
      </c>
    </row>
    <row r="34" spans="1:20" x14ac:dyDescent="0.35">
      <c r="A34" s="3" t="s">
        <v>108</v>
      </c>
      <c r="B34" s="3" t="s">
        <v>148</v>
      </c>
      <c r="C34" s="3" t="s">
        <v>21</v>
      </c>
      <c r="D34" s="3" t="s">
        <v>67</v>
      </c>
      <c r="E34" s="5">
        <v>2.0000000000000002E-5</v>
      </c>
      <c r="F34" s="3" t="s">
        <v>66</v>
      </c>
      <c r="G34" s="5">
        <v>1.5999999999999999E-5</v>
      </c>
      <c r="H34" s="5">
        <v>2.0000000000000002E-5</v>
      </c>
      <c r="I34" s="5">
        <v>2.4000000000000001E-5</v>
      </c>
      <c r="J34" s="3"/>
      <c r="K34" s="3" t="s">
        <v>91</v>
      </c>
      <c r="P34">
        <f>IF(E34=[1]Sheet1!E34,1,0)</f>
        <v>0</v>
      </c>
      <c r="Q34">
        <f>IF(F34=[1]Sheet1!F34,1,0)</f>
        <v>1</v>
      </c>
      <c r="R34">
        <f>IF(G34=[1]Sheet1!G34,1,0)</f>
        <v>0</v>
      </c>
      <c r="S34">
        <f>IF(H34=[1]Sheet1!H34,1,0)</f>
        <v>0</v>
      </c>
      <c r="T34">
        <f>IF(I34=[1]Sheet1!I34,1,0)</f>
        <v>0</v>
      </c>
    </row>
    <row r="35" spans="1:20" x14ac:dyDescent="0.35">
      <c r="A35" s="3" t="s">
        <v>109</v>
      </c>
      <c r="B35" s="3" t="s">
        <v>148</v>
      </c>
      <c r="C35" s="3" t="s">
        <v>21</v>
      </c>
      <c r="D35" s="3" t="s">
        <v>67</v>
      </c>
      <c r="E35" s="3">
        <v>0.10100000000000001</v>
      </c>
      <c r="F35" s="3" t="s">
        <v>66</v>
      </c>
      <c r="G35" s="3">
        <v>8.0799999999999997E-2</v>
      </c>
      <c r="H35" s="3">
        <v>0.10100000000000001</v>
      </c>
      <c r="I35" s="3">
        <v>0.1212</v>
      </c>
      <c r="J35" s="3"/>
      <c r="K35" s="3" t="s">
        <v>92</v>
      </c>
      <c r="P35">
        <f>IF(E35=[1]Sheet1!E35,1,0)</f>
        <v>0</v>
      </c>
      <c r="Q35">
        <f>IF(F35=[1]Sheet1!F35,1,0)</f>
        <v>1</v>
      </c>
      <c r="R35">
        <f>IF(G35=[1]Sheet1!G35,1,0)</f>
        <v>0</v>
      </c>
      <c r="S35">
        <f>IF(H35=[1]Sheet1!H35,1,0)</f>
        <v>0</v>
      </c>
      <c r="T35">
        <f>IF(I35=[1]Sheet1!I35,1,0)</f>
        <v>0</v>
      </c>
    </row>
    <row r="36" spans="1:20" x14ac:dyDescent="0.35">
      <c r="A36" s="3" t="s">
        <v>128</v>
      </c>
      <c r="B36" s="3" t="s">
        <v>149</v>
      </c>
      <c r="C36" s="3" t="s">
        <v>21</v>
      </c>
      <c r="D36" s="3" t="s">
        <v>65</v>
      </c>
      <c r="E36" s="3">
        <v>5.81</v>
      </c>
      <c r="F36" s="3" t="s">
        <v>66</v>
      </c>
      <c r="G36" s="3">
        <v>4.6479999999999997</v>
      </c>
      <c r="H36" s="3">
        <v>5.81</v>
      </c>
      <c r="I36" s="3">
        <v>6.9719999999999898</v>
      </c>
      <c r="J36" s="3"/>
      <c r="K36" s="3" t="s">
        <v>63</v>
      </c>
      <c r="P36">
        <f>IF(E36=[1]Sheet1!E36,1,0)</f>
        <v>0</v>
      </c>
      <c r="Q36">
        <f>IF(F36=[1]Sheet1!F36,1,0)</f>
        <v>1</v>
      </c>
      <c r="R36">
        <f>IF(G36=[1]Sheet1!G36,1,0)</f>
        <v>0</v>
      </c>
      <c r="S36">
        <f>IF(H36=[1]Sheet1!H36,1,0)</f>
        <v>0</v>
      </c>
      <c r="T36">
        <f>IF(I36=[1]Sheet1!I36,1,0)</f>
        <v>0</v>
      </c>
    </row>
    <row r="37" spans="1:20" x14ac:dyDescent="0.35">
      <c r="A37" s="3" t="s">
        <v>110</v>
      </c>
      <c r="B37" s="3" t="s">
        <v>149</v>
      </c>
      <c r="C37" s="3" t="s">
        <v>21</v>
      </c>
      <c r="D37" s="3" t="s">
        <v>67</v>
      </c>
      <c r="E37" s="5">
        <v>4.9999999999999998E-7</v>
      </c>
      <c r="F37" s="3" t="s">
        <v>66</v>
      </c>
      <c r="G37" s="5">
        <v>3.9999999999999998E-7</v>
      </c>
      <c r="H37" s="5">
        <v>4.9999999999999998E-7</v>
      </c>
      <c r="I37" s="5">
        <v>5.9999999999999997E-7</v>
      </c>
      <c r="J37" s="3"/>
      <c r="K37" s="3" t="s">
        <v>93</v>
      </c>
      <c r="P37">
        <f>IF(E37=[1]Sheet1!E37,1,0)</f>
        <v>0</v>
      </c>
      <c r="Q37">
        <f>IF(F37=[1]Sheet1!F37,1,0)</f>
        <v>1</v>
      </c>
      <c r="R37">
        <f>IF(G37=[1]Sheet1!G37,1,0)</f>
        <v>0</v>
      </c>
      <c r="S37">
        <f>IF(H37=[1]Sheet1!H37,1,0)</f>
        <v>0</v>
      </c>
      <c r="T37">
        <f>IF(I37=[1]Sheet1!I37,1,0)</f>
        <v>0</v>
      </c>
    </row>
    <row r="38" spans="1:20" x14ac:dyDescent="0.35">
      <c r="A38" s="3" t="s">
        <v>129</v>
      </c>
      <c r="B38" s="3" t="s">
        <v>150</v>
      </c>
      <c r="C38" s="3" t="s">
        <v>21</v>
      </c>
      <c r="D38" s="3" t="s">
        <v>65</v>
      </c>
      <c r="E38" s="3">
        <v>4.8</v>
      </c>
      <c r="F38" s="3" t="s">
        <v>66</v>
      </c>
      <c r="G38" s="3">
        <v>3.84</v>
      </c>
      <c r="H38" s="3">
        <v>4.8</v>
      </c>
      <c r="I38" s="3">
        <v>5.76</v>
      </c>
      <c r="J38" s="3"/>
      <c r="K38" s="3" t="s">
        <v>64</v>
      </c>
      <c r="P38">
        <f>IF(E38=[1]Sheet1!E38,1,0)</f>
        <v>0</v>
      </c>
      <c r="Q38">
        <f>IF(F38=[1]Sheet1!F38,1,0)</f>
        <v>1</v>
      </c>
      <c r="R38">
        <f>IF(G38=[1]Sheet1!G38,1,0)</f>
        <v>0</v>
      </c>
      <c r="S38">
        <f>IF(H38=[1]Sheet1!H38,1,0)</f>
        <v>0</v>
      </c>
      <c r="T38">
        <f>IF(I38=[1]Sheet1!I38,1,0)</f>
        <v>0</v>
      </c>
    </row>
    <row r="39" spans="1:20" x14ac:dyDescent="0.35">
      <c r="A39" s="3" t="s">
        <v>130</v>
      </c>
      <c r="B39" s="3" t="s">
        <v>150</v>
      </c>
      <c r="C39" s="3" t="s">
        <v>21</v>
      </c>
      <c r="D39" s="3" t="s">
        <v>65</v>
      </c>
      <c r="E39" s="3">
        <v>0.04</v>
      </c>
      <c r="F39" s="3" t="s">
        <v>66</v>
      </c>
      <c r="G39" s="3">
        <v>3.2000000000000001E-2</v>
      </c>
      <c r="H39" s="3">
        <v>0.04</v>
      </c>
      <c r="I39" s="3">
        <v>4.8000000000000001E-2</v>
      </c>
      <c r="J39" s="3"/>
      <c r="K39" s="3" t="s">
        <v>68</v>
      </c>
      <c r="P39">
        <f>IF(E39=[1]Sheet1!E39,1,0)</f>
        <v>1</v>
      </c>
      <c r="Q39">
        <f>IF(F39=[1]Sheet1!F39,1,0)</f>
        <v>1</v>
      </c>
      <c r="R39">
        <f>IF(G39=[1]Sheet1!G39,1,0)</f>
        <v>1</v>
      </c>
      <c r="S39">
        <f>IF(H39=[1]Sheet1!H39,1,0)</f>
        <v>1</v>
      </c>
      <c r="T39">
        <f>IF(I39=[1]Sheet1!I39,1,0)</f>
        <v>1</v>
      </c>
    </row>
    <row r="40" spans="1:20" x14ac:dyDescent="0.35">
      <c r="A40" s="3" t="s">
        <v>131</v>
      </c>
      <c r="B40" s="3" t="s">
        <v>150</v>
      </c>
      <c r="C40" s="3" t="s">
        <v>21</v>
      </c>
      <c r="D40" s="3" t="s">
        <v>65</v>
      </c>
      <c r="E40" s="3">
        <v>0.12</v>
      </c>
      <c r="F40" s="3" t="s">
        <v>66</v>
      </c>
      <c r="G40" s="3">
        <v>9.6000000000000002E-2</v>
      </c>
      <c r="H40" s="3">
        <v>0.12</v>
      </c>
      <c r="I40" s="3">
        <v>0.14399999999999999</v>
      </c>
      <c r="J40" s="3"/>
      <c r="K40" s="3" t="s">
        <v>69</v>
      </c>
      <c r="P40">
        <f>IF(E40=[1]Sheet1!E40,1,0)</f>
        <v>0</v>
      </c>
      <c r="Q40">
        <f>IF(F40=[1]Sheet1!F40,1,0)</f>
        <v>1</v>
      </c>
      <c r="R40">
        <f>IF(G40=[1]Sheet1!G40,1,0)</f>
        <v>0</v>
      </c>
      <c r="S40">
        <f>IF(H40=[1]Sheet1!H40,1,0)</f>
        <v>0</v>
      </c>
      <c r="T40">
        <f>IF(I40=[1]Sheet1!I40,1,0)</f>
        <v>0</v>
      </c>
    </row>
    <row r="41" spans="1:20" x14ac:dyDescent="0.35">
      <c r="A41" s="3" t="s">
        <v>132</v>
      </c>
      <c r="B41" s="3" t="s">
        <v>150</v>
      </c>
      <c r="C41" s="3" t="s">
        <v>21</v>
      </c>
      <c r="D41" s="3" t="s">
        <v>65</v>
      </c>
      <c r="E41" s="3">
        <v>0.04</v>
      </c>
      <c r="F41" s="3" t="s">
        <v>66</v>
      </c>
      <c r="G41" s="3">
        <v>3.2000000000000001E-2</v>
      </c>
      <c r="H41" s="3">
        <v>0.04</v>
      </c>
      <c r="I41" s="3">
        <v>4.8000000000000001E-2</v>
      </c>
      <c r="J41" s="3"/>
      <c r="K41" s="3" t="s">
        <v>70</v>
      </c>
      <c r="P41">
        <f>IF(E41=[1]Sheet1!E41,1,0)</f>
        <v>0</v>
      </c>
      <c r="Q41">
        <f>IF(F41=[1]Sheet1!F41,1,0)</f>
        <v>1</v>
      </c>
      <c r="R41">
        <f>IF(G41=[1]Sheet1!G41,1,0)</f>
        <v>0</v>
      </c>
      <c r="S41">
        <f>IF(H41=[1]Sheet1!H41,1,0)</f>
        <v>0</v>
      </c>
      <c r="T41">
        <f>IF(I41=[1]Sheet1!I41,1,0)</f>
        <v>0</v>
      </c>
    </row>
    <row r="42" spans="1:20" x14ac:dyDescent="0.35">
      <c r="A42" s="3" t="s">
        <v>111</v>
      </c>
      <c r="B42" s="3" t="s">
        <v>150</v>
      </c>
      <c r="C42" s="3" t="s">
        <v>21</v>
      </c>
      <c r="D42" s="3" t="s">
        <v>67</v>
      </c>
      <c r="E42" s="3">
        <v>2.6400000000000002E-4</v>
      </c>
      <c r="F42" s="3" t="s">
        <v>66</v>
      </c>
      <c r="G42" s="3">
        <v>2.1120000000000001E-4</v>
      </c>
      <c r="H42" s="3">
        <v>2.6400000000000002E-4</v>
      </c>
      <c r="I42" s="3">
        <v>3.168E-4</v>
      </c>
      <c r="J42" s="3"/>
      <c r="K42" s="3" t="s">
        <v>94</v>
      </c>
      <c r="P42">
        <f>IF(E42=[1]Sheet1!E42,1,0)</f>
        <v>0</v>
      </c>
      <c r="Q42">
        <f>IF(F42=[1]Sheet1!F42,1,0)</f>
        <v>1</v>
      </c>
      <c r="R42">
        <f>IF(G42=[1]Sheet1!G42,1,0)</f>
        <v>0</v>
      </c>
      <c r="S42">
        <f>IF(H42=[1]Sheet1!H42,1,0)</f>
        <v>0</v>
      </c>
      <c r="T42">
        <f>IF(I42=[1]Sheet1!I42,1,0)</f>
        <v>0</v>
      </c>
    </row>
    <row r="43" spans="1:20" x14ac:dyDescent="0.35">
      <c r="A43" s="3" t="s">
        <v>133</v>
      </c>
      <c r="B43" s="3" t="s">
        <v>155</v>
      </c>
      <c r="C43" s="3" t="s">
        <v>21</v>
      </c>
      <c r="D43" s="3" t="s">
        <v>65</v>
      </c>
      <c r="E43" s="3">
        <v>1.04E-2</v>
      </c>
      <c r="F43" s="3" t="s">
        <v>66</v>
      </c>
      <c r="G43" s="3">
        <v>8.3199999999999993E-3</v>
      </c>
      <c r="H43" s="3">
        <v>1.04E-2</v>
      </c>
      <c r="I43" s="3">
        <v>1.248E-2</v>
      </c>
      <c r="J43" s="3"/>
      <c r="K43" s="3" t="s">
        <v>71</v>
      </c>
      <c r="P43">
        <f>IF(E43=[1]Sheet1!E43,1,0)</f>
        <v>0</v>
      </c>
      <c r="Q43">
        <f>IF(F43=[1]Sheet1!F43,1,0)</f>
        <v>1</v>
      </c>
      <c r="R43">
        <f>IF(G43=[1]Sheet1!G43,1,0)</f>
        <v>0</v>
      </c>
      <c r="S43">
        <f>IF(H43=[1]Sheet1!H43,1,0)</f>
        <v>0</v>
      </c>
      <c r="T43">
        <f>IF(I43=[1]Sheet1!I43,1,0)</f>
        <v>0</v>
      </c>
    </row>
    <row r="44" spans="1:20" x14ac:dyDescent="0.35">
      <c r="A44" s="3" t="s">
        <v>112</v>
      </c>
      <c r="B44" s="3" t="s">
        <v>155</v>
      </c>
      <c r="C44" s="3" t="s">
        <v>21</v>
      </c>
      <c r="D44" s="3" t="s">
        <v>67</v>
      </c>
      <c r="E44" s="3">
        <v>1.0200000000000001E-2</v>
      </c>
      <c r="F44" s="3" t="s">
        <v>66</v>
      </c>
      <c r="G44" s="3">
        <v>8.1600000000000006E-3</v>
      </c>
      <c r="H44" s="3">
        <v>1.0200000000000001E-2</v>
      </c>
      <c r="I44" s="3">
        <v>1.2239999999999999E-2</v>
      </c>
      <c r="J44" s="3"/>
      <c r="K44" s="3" t="s">
        <v>95</v>
      </c>
      <c r="P44">
        <f>IF(E44=[1]Sheet1!E44,1,0)</f>
        <v>0</v>
      </c>
      <c r="Q44">
        <f>IF(F44=[1]Sheet1!F44,1,0)</f>
        <v>1</v>
      </c>
      <c r="R44">
        <f>IF(G44=[1]Sheet1!G44,1,0)</f>
        <v>0</v>
      </c>
      <c r="S44">
        <f>IF(H44=[1]Sheet1!H44,1,0)</f>
        <v>0</v>
      </c>
      <c r="T44">
        <f>IF(I44=[1]Sheet1!I44,1,0)</f>
        <v>0</v>
      </c>
    </row>
    <row r="45" spans="1:20" x14ac:dyDescent="0.35">
      <c r="A45" s="3" t="s">
        <v>134</v>
      </c>
      <c r="B45" s="3" t="s">
        <v>155</v>
      </c>
      <c r="C45" s="3" t="s">
        <v>21</v>
      </c>
      <c r="D45" s="3" t="s">
        <v>65</v>
      </c>
      <c r="E45" s="3">
        <v>0.77500000000000002</v>
      </c>
      <c r="F45" s="3" t="s">
        <v>66</v>
      </c>
      <c r="G45" s="3">
        <v>0.62</v>
      </c>
      <c r="H45" s="3">
        <v>0.77500000000000002</v>
      </c>
      <c r="I45" s="3">
        <v>0.92999999999999905</v>
      </c>
      <c r="J45" s="3"/>
      <c r="K45" s="3" t="s">
        <v>72</v>
      </c>
      <c r="P45">
        <f>IF(E45=[1]Sheet1!E45,1,0)</f>
        <v>0</v>
      </c>
      <c r="Q45">
        <f>IF(F45=[1]Sheet1!F45,1,0)</f>
        <v>1</v>
      </c>
      <c r="R45">
        <f>IF(G45=[1]Sheet1!G45,1,0)</f>
        <v>0</v>
      </c>
      <c r="S45">
        <f>IF(H45=[1]Sheet1!H45,1,0)</f>
        <v>0</v>
      </c>
      <c r="T45">
        <f>IF(I45=[1]Sheet1!I45,1,0)</f>
        <v>0</v>
      </c>
    </row>
    <row r="46" spans="1:20" x14ac:dyDescent="0.35">
      <c r="A46" s="3" t="s">
        <v>113</v>
      </c>
      <c r="B46" s="3" t="s">
        <v>155</v>
      </c>
      <c r="C46" s="3" t="s">
        <v>21</v>
      </c>
      <c r="D46" s="3" t="s">
        <v>67</v>
      </c>
      <c r="E46" s="3">
        <v>0.1</v>
      </c>
      <c r="F46" s="3" t="s">
        <v>66</v>
      </c>
      <c r="G46" s="3">
        <v>0.08</v>
      </c>
      <c r="H46" s="3">
        <v>0.1</v>
      </c>
      <c r="I46" s="3">
        <v>0.12</v>
      </c>
      <c r="J46" s="3"/>
      <c r="K46" s="3" t="s">
        <v>96</v>
      </c>
      <c r="P46">
        <f>IF(E46=[1]Sheet1!E46,1,0)</f>
        <v>0</v>
      </c>
      <c r="Q46">
        <f>IF(F46=[1]Sheet1!F46,1,0)</f>
        <v>1</v>
      </c>
      <c r="R46">
        <f>IF(G46=[1]Sheet1!G46,1,0)</f>
        <v>0</v>
      </c>
      <c r="S46">
        <f>IF(H46=[1]Sheet1!H46,1,0)</f>
        <v>0</v>
      </c>
      <c r="T46">
        <f>IF(I46=[1]Sheet1!I46,1,0)</f>
        <v>0</v>
      </c>
    </row>
    <row r="47" spans="1:20" x14ac:dyDescent="0.35">
      <c r="A47" s="3" t="s">
        <v>114</v>
      </c>
      <c r="B47" s="3" t="s">
        <v>155</v>
      </c>
      <c r="C47" s="3" t="s">
        <v>21</v>
      </c>
      <c r="D47" s="3" t="s">
        <v>67</v>
      </c>
      <c r="E47" s="3">
        <v>440</v>
      </c>
      <c r="F47" s="3" t="s">
        <v>66</v>
      </c>
      <c r="G47" s="3">
        <v>352</v>
      </c>
      <c r="H47" s="3">
        <v>440</v>
      </c>
      <c r="I47" s="3">
        <v>528</v>
      </c>
      <c r="J47" s="3"/>
      <c r="K47" s="3" t="s">
        <v>97</v>
      </c>
      <c r="P47">
        <f>IF(E47=[1]Sheet1!E47,1,0)</f>
        <v>0</v>
      </c>
      <c r="Q47">
        <f>IF(F47=[1]Sheet1!F47,1,0)</f>
        <v>1</v>
      </c>
      <c r="R47">
        <f>IF(G47=[1]Sheet1!G47,1,0)</f>
        <v>0</v>
      </c>
      <c r="S47">
        <f>IF(H47=[1]Sheet1!H47,1,0)</f>
        <v>0</v>
      </c>
      <c r="T47">
        <f>IF(I47=[1]Sheet1!I47,1,0)</f>
        <v>0</v>
      </c>
    </row>
    <row r="48" spans="1:20" x14ac:dyDescent="0.35">
      <c r="A48" s="3" t="s">
        <v>135</v>
      </c>
      <c r="B48" s="3" t="s">
        <v>151</v>
      </c>
      <c r="C48" s="3" t="s">
        <v>21</v>
      </c>
      <c r="D48" s="3" t="s">
        <v>65</v>
      </c>
      <c r="E48" s="3">
        <v>2.82</v>
      </c>
      <c r="F48" s="3" t="s">
        <v>66</v>
      </c>
      <c r="G48" s="3">
        <v>2.2559999999999998</v>
      </c>
      <c r="H48" s="3">
        <v>2.82</v>
      </c>
      <c r="I48" s="3">
        <v>3.3839999999999999</v>
      </c>
      <c r="J48" s="3"/>
      <c r="K48" s="3" t="s">
        <v>73</v>
      </c>
      <c r="P48">
        <f>IF(E48=[1]Sheet1!E48,1,0)</f>
        <v>0</v>
      </c>
      <c r="Q48">
        <f>IF(F48=[1]Sheet1!F48,1,0)</f>
        <v>1</v>
      </c>
      <c r="R48">
        <f>IF(G48=[1]Sheet1!G48,1,0)</f>
        <v>0</v>
      </c>
      <c r="S48">
        <f>IF(H48=[1]Sheet1!H48,1,0)</f>
        <v>0</v>
      </c>
      <c r="T48">
        <f>IF(I48=[1]Sheet1!I48,1,0)</f>
        <v>0</v>
      </c>
    </row>
    <row r="49" spans="1:20" x14ac:dyDescent="0.35">
      <c r="A49" s="3" t="s">
        <v>136</v>
      </c>
      <c r="B49" s="3" t="s">
        <v>151</v>
      </c>
      <c r="C49" s="3" t="s">
        <v>21</v>
      </c>
      <c r="D49" s="3" t="s">
        <v>65</v>
      </c>
      <c r="E49" s="3">
        <v>1.2500000000000001E-2</v>
      </c>
      <c r="F49" s="3" t="s">
        <v>66</v>
      </c>
      <c r="G49" s="3">
        <v>0.01</v>
      </c>
      <c r="H49" s="3">
        <v>1.2500000000000001E-2</v>
      </c>
      <c r="I49" s="3">
        <v>1.4999999999999999E-2</v>
      </c>
      <c r="J49" s="3"/>
      <c r="K49" s="3" t="s">
        <v>74</v>
      </c>
      <c r="P49">
        <f>IF(E49=[1]Sheet1!E49,1,0)</f>
        <v>0</v>
      </c>
      <c r="Q49">
        <f>IF(F49=[1]Sheet1!F49,1,0)</f>
        <v>1</v>
      </c>
      <c r="R49">
        <f>IF(G49=[1]Sheet1!G49,1,0)</f>
        <v>0</v>
      </c>
      <c r="S49">
        <f>IF(H49=[1]Sheet1!H49,1,0)</f>
        <v>0</v>
      </c>
      <c r="T49">
        <f>IF(I49=[1]Sheet1!I49,1,0)</f>
        <v>0</v>
      </c>
    </row>
    <row r="50" spans="1:20" x14ac:dyDescent="0.35">
      <c r="A50" s="3" t="s">
        <v>115</v>
      </c>
      <c r="B50" s="3" t="s">
        <v>151</v>
      </c>
      <c r="C50" s="3" t="s">
        <v>21</v>
      </c>
      <c r="D50" s="3" t="s">
        <v>67</v>
      </c>
      <c r="E50" s="3">
        <v>3.4000000000000002E-2</v>
      </c>
      <c r="F50" s="3" t="s">
        <v>66</v>
      </c>
      <c r="G50" s="3">
        <v>2.7199999999999998E-2</v>
      </c>
      <c r="H50" s="3">
        <v>3.4000000000000002E-2</v>
      </c>
      <c r="I50" s="3">
        <v>4.0800000000000003E-2</v>
      </c>
      <c r="J50" s="3"/>
      <c r="K50" s="3" t="s">
        <v>98</v>
      </c>
      <c r="P50">
        <f>IF(E50=[1]Sheet1!E50,1,0)</f>
        <v>0</v>
      </c>
      <c r="Q50">
        <f>IF(F50=[1]Sheet1!F50,1,0)</f>
        <v>1</v>
      </c>
      <c r="R50">
        <f>IF(G50=[1]Sheet1!G50,1,0)</f>
        <v>0</v>
      </c>
      <c r="S50">
        <f>IF(H50=[1]Sheet1!H50,1,0)</f>
        <v>0</v>
      </c>
      <c r="T50">
        <f>IF(I50=[1]Sheet1!I50,1,0)</f>
        <v>0</v>
      </c>
    </row>
    <row r="51" spans="1:20" x14ac:dyDescent="0.35">
      <c r="A51" s="3" t="s">
        <v>116</v>
      </c>
      <c r="B51" s="3" t="s">
        <v>151</v>
      </c>
      <c r="C51" s="3" t="s">
        <v>21</v>
      </c>
      <c r="D51" s="3" t="s">
        <v>67</v>
      </c>
      <c r="E51" s="3">
        <v>5.7000000000000002E-2</v>
      </c>
      <c r="F51" s="3" t="s">
        <v>66</v>
      </c>
      <c r="G51" s="3">
        <v>4.5600000000000002E-2</v>
      </c>
      <c r="H51" s="3">
        <v>5.7000000000000002E-2</v>
      </c>
      <c r="I51" s="3">
        <v>6.8400000000000002E-2</v>
      </c>
      <c r="J51" s="3"/>
      <c r="K51" s="3" t="s">
        <v>99</v>
      </c>
      <c r="P51">
        <f>IF(E51=[1]Sheet1!E51,1,0)</f>
        <v>0</v>
      </c>
      <c r="Q51">
        <f>IF(F51=[1]Sheet1!F51,1,0)</f>
        <v>1</v>
      </c>
      <c r="R51">
        <f>IF(G51=[1]Sheet1!G51,1,0)</f>
        <v>0</v>
      </c>
      <c r="S51">
        <f>IF(H51=[1]Sheet1!H51,1,0)</f>
        <v>0</v>
      </c>
      <c r="T51">
        <f>IF(I51=[1]Sheet1!I51,1,0)</f>
        <v>0</v>
      </c>
    </row>
    <row r="52" spans="1:20" x14ac:dyDescent="0.35">
      <c r="A52" s="3" t="s">
        <v>137</v>
      </c>
      <c r="B52" s="3" t="s">
        <v>152</v>
      </c>
      <c r="C52" s="3" t="s">
        <v>21</v>
      </c>
      <c r="D52" s="3" t="s">
        <v>65</v>
      </c>
      <c r="E52" s="3">
        <v>1.2030000000000001</v>
      </c>
      <c r="F52" s="3" t="s">
        <v>66</v>
      </c>
      <c r="G52" s="3">
        <v>0.96240000000000003</v>
      </c>
      <c r="H52" s="3">
        <v>1.2030000000000001</v>
      </c>
      <c r="I52" s="3">
        <v>1.4436</v>
      </c>
      <c r="J52" s="3"/>
      <c r="K52" s="3" t="s">
        <v>75</v>
      </c>
      <c r="P52">
        <f>IF(E52=[1]Sheet1!E52,1,0)</f>
        <v>0</v>
      </c>
      <c r="Q52">
        <f>IF(F52=[1]Sheet1!F52,1,0)</f>
        <v>1</v>
      </c>
      <c r="R52">
        <f>IF(G52=[1]Sheet1!G52,1,0)</f>
        <v>0</v>
      </c>
      <c r="S52">
        <f>IF(H52=[1]Sheet1!H52,1,0)</f>
        <v>0</v>
      </c>
      <c r="T52">
        <f>IF(I52=[1]Sheet1!I52,1,0)</f>
        <v>0</v>
      </c>
    </row>
    <row r="53" spans="1:20" x14ac:dyDescent="0.35">
      <c r="A53" s="3" t="s">
        <v>138</v>
      </c>
      <c r="B53" s="3" t="s">
        <v>152</v>
      </c>
      <c r="C53" s="3" t="s">
        <v>21</v>
      </c>
      <c r="D53" s="3" t="s">
        <v>65</v>
      </c>
      <c r="E53" s="3">
        <v>0.04</v>
      </c>
      <c r="F53" s="3" t="s">
        <v>66</v>
      </c>
      <c r="G53" s="3">
        <v>3.2000000000000001E-2</v>
      </c>
      <c r="H53" s="3">
        <v>0.04</v>
      </c>
      <c r="I53" s="3">
        <v>4.8000000000000001E-2</v>
      </c>
      <c r="J53" s="3"/>
      <c r="K53" s="3" t="s">
        <v>76</v>
      </c>
      <c r="P53">
        <f>IF(E53=[1]Sheet1!E53,1,0)</f>
        <v>1</v>
      </c>
      <c r="Q53">
        <f>IF(F53=[1]Sheet1!F53,1,0)</f>
        <v>1</v>
      </c>
      <c r="R53">
        <f>IF(G53=[1]Sheet1!G53,1,0)</f>
        <v>1</v>
      </c>
      <c r="S53">
        <f>IF(H53=[1]Sheet1!H53,1,0)</f>
        <v>1</v>
      </c>
      <c r="T53">
        <f>IF(I53=[1]Sheet1!I53,1,0)</f>
        <v>1</v>
      </c>
    </row>
    <row r="54" spans="1:20" x14ac:dyDescent="0.35">
      <c r="A54" s="3" t="s">
        <v>139</v>
      </c>
      <c r="B54" s="3" t="s">
        <v>152</v>
      </c>
      <c r="C54" s="3" t="s">
        <v>21</v>
      </c>
      <c r="D54" s="3" t="s">
        <v>65</v>
      </c>
      <c r="E54" s="3">
        <v>0.12</v>
      </c>
      <c r="F54" s="3" t="s">
        <v>66</v>
      </c>
      <c r="G54" s="3">
        <v>9.6000000000000002E-2</v>
      </c>
      <c r="H54" s="3">
        <v>0.12</v>
      </c>
      <c r="I54" s="3">
        <v>0.14399999999999999</v>
      </c>
      <c r="J54" s="3"/>
      <c r="K54" s="3" t="s">
        <v>77</v>
      </c>
      <c r="P54">
        <f>IF(E54=[1]Sheet1!E54,1,0)</f>
        <v>0</v>
      </c>
      <c r="Q54">
        <f>IF(F54=[1]Sheet1!F54,1,0)</f>
        <v>1</v>
      </c>
      <c r="R54">
        <f>IF(G54=[1]Sheet1!G54,1,0)</f>
        <v>0</v>
      </c>
      <c r="S54">
        <f>IF(H54=[1]Sheet1!H54,1,0)</f>
        <v>0</v>
      </c>
      <c r="T54">
        <f>IF(I54=[1]Sheet1!I54,1,0)</f>
        <v>0</v>
      </c>
    </row>
    <row r="55" spans="1:20" x14ac:dyDescent="0.35">
      <c r="A55" s="3" t="s">
        <v>140</v>
      </c>
      <c r="B55" s="3" t="s">
        <v>152</v>
      </c>
      <c r="C55" s="3" t="s">
        <v>21</v>
      </c>
      <c r="D55" s="3" t="s">
        <v>65</v>
      </c>
      <c r="E55" s="3">
        <v>0.04</v>
      </c>
      <c r="F55" s="3" t="s">
        <v>66</v>
      </c>
      <c r="G55" s="3">
        <v>3.2000000000000001E-2</v>
      </c>
      <c r="H55" s="3">
        <v>0.04</v>
      </c>
      <c r="I55" s="3">
        <v>4.8000000000000001E-2</v>
      </c>
      <c r="J55" s="3"/>
      <c r="K55" s="3" t="s">
        <v>78</v>
      </c>
      <c r="P55">
        <f>IF(E55=[1]Sheet1!E55,1,0)</f>
        <v>0</v>
      </c>
      <c r="Q55">
        <f>IF(F55=[1]Sheet1!F55,1,0)</f>
        <v>1</v>
      </c>
      <c r="R55">
        <f>IF(G55=[1]Sheet1!G55,1,0)</f>
        <v>0</v>
      </c>
      <c r="S55">
        <f>IF(H55=[1]Sheet1!H55,1,0)</f>
        <v>0</v>
      </c>
      <c r="T55">
        <f>IF(I55=[1]Sheet1!I55,1,0)</f>
        <v>0</v>
      </c>
    </row>
    <row r="56" spans="1:20" x14ac:dyDescent="0.35">
      <c r="A56" s="3" t="s">
        <v>117</v>
      </c>
      <c r="B56" s="3" t="s">
        <v>152</v>
      </c>
      <c r="C56" s="3" t="s">
        <v>21</v>
      </c>
      <c r="D56" s="3" t="s">
        <v>67</v>
      </c>
      <c r="E56" s="3">
        <v>1.01E-2</v>
      </c>
      <c r="F56" s="3" t="s">
        <v>66</v>
      </c>
      <c r="G56" s="3">
        <v>8.0800000000000004E-3</v>
      </c>
      <c r="H56" s="3">
        <v>1.01E-2</v>
      </c>
      <c r="I56" s="3">
        <v>1.21199999999999E-2</v>
      </c>
      <c r="J56" s="3"/>
      <c r="K56" s="3" t="s">
        <v>100</v>
      </c>
      <c r="P56">
        <f>IF(E56=[1]Sheet1!E56,1,0)</f>
        <v>0</v>
      </c>
      <c r="Q56">
        <f>IF(F56=[1]Sheet1!F56,1,0)</f>
        <v>1</v>
      </c>
      <c r="R56">
        <f>IF(G56=[1]Sheet1!G56,1,0)</f>
        <v>0</v>
      </c>
      <c r="S56">
        <f>IF(H56=[1]Sheet1!H56,1,0)</f>
        <v>0</v>
      </c>
      <c r="T56">
        <f>IF(I56=[1]Sheet1!I56,1,0)</f>
        <v>0</v>
      </c>
    </row>
    <row r="57" spans="1:20" x14ac:dyDescent="0.35">
      <c r="A57" s="3" t="s">
        <v>141</v>
      </c>
      <c r="B57" s="3" t="s">
        <v>153</v>
      </c>
      <c r="C57" s="3" t="s">
        <v>21</v>
      </c>
      <c r="D57" s="3" t="s">
        <v>65</v>
      </c>
      <c r="E57" s="3">
        <v>0.58899999999999997</v>
      </c>
      <c r="F57" s="3" t="s">
        <v>66</v>
      </c>
      <c r="G57" s="3">
        <v>0.47120000000000001</v>
      </c>
      <c r="H57" s="3">
        <v>0.58899999999999997</v>
      </c>
      <c r="I57" s="3">
        <v>0.70679999999999998</v>
      </c>
      <c r="J57" s="3"/>
      <c r="K57" s="3" t="s">
        <v>79</v>
      </c>
      <c r="P57">
        <f>IF(E57=[1]Sheet1!E57,1,0)</f>
        <v>0</v>
      </c>
      <c r="Q57">
        <f>IF(F57=[1]Sheet1!F57,1,0)</f>
        <v>1</v>
      </c>
      <c r="R57">
        <f>IF(G57=[1]Sheet1!G57,1,0)</f>
        <v>0</v>
      </c>
      <c r="S57">
        <f>IF(H57=[1]Sheet1!H57,1,0)</f>
        <v>0</v>
      </c>
      <c r="T57">
        <f>IF(I57=[1]Sheet1!I57,1,0)</f>
        <v>0</v>
      </c>
    </row>
    <row r="58" spans="1:20" x14ac:dyDescent="0.35">
      <c r="A58" s="3" t="s">
        <v>142</v>
      </c>
      <c r="B58" s="3" t="s">
        <v>154</v>
      </c>
      <c r="C58" s="3" t="s">
        <v>21</v>
      </c>
      <c r="D58" s="3" t="s">
        <v>65</v>
      </c>
      <c r="E58" s="3">
        <v>8.0000000000000002E-3</v>
      </c>
      <c r="F58" s="3" t="s">
        <v>66</v>
      </c>
      <c r="G58" s="3">
        <v>6.4000000000000003E-3</v>
      </c>
      <c r="H58" s="3">
        <v>8.0000000000000002E-3</v>
      </c>
      <c r="I58" s="3">
        <v>9.5999999999999992E-3</v>
      </c>
      <c r="J58" s="3"/>
      <c r="K58" s="3" t="s">
        <v>80</v>
      </c>
      <c r="P58">
        <f>IF(E58=[1]Sheet1!E58,1,0)</f>
        <v>0</v>
      </c>
      <c r="Q58">
        <f>IF(F58=[1]Sheet1!F58,1,0)</f>
        <v>1</v>
      </c>
      <c r="R58">
        <f>IF(G58=[1]Sheet1!G58,1,0)</f>
        <v>0</v>
      </c>
      <c r="S58">
        <f>IF(H58=[1]Sheet1!H58,1,0)</f>
        <v>0</v>
      </c>
      <c r="T58">
        <f>IF(I58=[1]Sheet1!I58,1,0)</f>
        <v>0</v>
      </c>
    </row>
    <row r="59" spans="1:20" x14ac:dyDescent="0.35">
      <c r="A59" s="3" t="s">
        <v>118</v>
      </c>
      <c r="B59" s="3" t="s">
        <v>154</v>
      </c>
      <c r="C59" s="3" t="s">
        <v>21</v>
      </c>
      <c r="D59" s="3" t="s">
        <v>67</v>
      </c>
      <c r="E59" s="5">
        <v>9.9999999999999995E-7</v>
      </c>
      <c r="F59" s="3" t="s">
        <v>66</v>
      </c>
      <c r="G59" s="5">
        <v>7.9999999999999996E-7</v>
      </c>
      <c r="H59" s="5">
        <v>9.9999999999999995E-7</v>
      </c>
      <c r="I59" s="5">
        <v>1.1999999999999999E-6</v>
      </c>
      <c r="J59" s="3"/>
      <c r="K59" s="3" t="s">
        <v>101</v>
      </c>
      <c r="P59">
        <f>IF(E59=[1]Sheet1!E59,1,0)</f>
        <v>0</v>
      </c>
      <c r="Q59">
        <f>IF(F59=[1]Sheet1!F59,1,0)</f>
        <v>1</v>
      </c>
      <c r="R59">
        <f>IF(G59=[1]Sheet1!G59,1,0)</f>
        <v>0</v>
      </c>
      <c r="S59">
        <f>IF(H59=[1]Sheet1!H59,1,0)</f>
        <v>0</v>
      </c>
      <c r="T59">
        <f>IF(I59=[1]Sheet1!I59,1,0)</f>
        <v>0</v>
      </c>
    </row>
    <row r="60" spans="1:20" x14ac:dyDescent="0.35">
      <c r="A60" s="3" t="s">
        <v>143</v>
      </c>
      <c r="B60" s="3" t="s">
        <v>154</v>
      </c>
      <c r="C60" s="3" t="s">
        <v>21</v>
      </c>
      <c r="D60" s="3" t="s">
        <v>65</v>
      </c>
      <c r="E60" s="3">
        <v>7.51E-2</v>
      </c>
      <c r="F60" s="3" t="s">
        <v>66</v>
      </c>
      <c r="G60" s="3">
        <v>6.0080000000000001E-2</v>
      </c>
      <c r="H60" s="3">
        <v>7.51E-2</v>
      </c>
      <c r="I60" s="3">
        <v>9.0119999999999895E-2</v>
      </c>
      <c r="J60" s="3"/>
      <c r="K60" s="3" t="s">
        <v>81</v>
      </c>
      <c r="P60">
        <f>IF(E60=[1]Sheet1!E60,1,0)</f>
        <v>0</v>
      </c>
      <c r="Q60">
        <f>IF(F60=[1]Sheet1!F60,1,0)</f>
        <v>1</v>
      </c>
      <c r="R60">
        <f>IF(G60=[1]Sheet1!G60,1,0)</f>
        <v>0</v>
      </c>
      <c r="S60">
        <f>IF(H60=[1]Sheet1!H60,1,0)</f>
        <v>0</v>
      </c>
      <c r="T60">
        <f>IF(I60=[1]Sheet1!I60,1,0)</f>
        <v>0</v>
      </c>
    </row>
    <row r="61" spans="1:20" x14ac:dyDescent="0.35">
      <c r="A61" s="3" t="s">
        <v>119</v>
      </c>
      <c r="B61" s="3" t="s">
        <v>154</v>
      </c>
      <c r="C61" s="3" t="s">
        <v>21</v>
      </c>
      <c r="D61" s="3" t="s">
        <v>67</v>
      </c>
      <c r="E61" s="3">
        <v>13</v>
      </c>
      <c r="F61" s="3" t="s">
        <v>66</v>
      </c>
      <c r="G61" s="3">
        <v>10.4</v>
      </c>
      <c r="H61" s="3">
        <v>13</v>
      </c>
      <c r="I61" s="3">
        <v>15.6</v>
      </c>
      <c r="J61" s="3"/>
      <c r="K61" s="3" t="s">
        <v>102</v>
      </c>
      <c r="P61">
        <f>IF(E61=[1]Sheet1!E61,1,0)</f>
        <v>0</v>
      </c>
      <c r="Q61">
        <f>IF(F61=[1]Sheet1!F61,1,0)</f>
        <v>1</v>
      </c>
      <c r="R61">
        <f>IF(G61=[1]Sheet1!G61,1,0)</f>
        <v>0</v>
      </c>
      <c r="S61">
        <f>IF(H61=[1]Sheet1!H61,1,0)</f>
        <v>0</v>
      </c>
      <c r="T61">
        <f>IF(I61=[1]Sheet1!I61,1,0)</f>
        <v>0</v>
      </c>
    </row>
    <row r="62" spans="1:20" x14ac:dyDescent="0.35">
      <c r="A62" s="3" t="s">
        <v>120</v>
      </c>
      <c r="B62" s="3" t="s">
        <v>154</v>
      </c>
      <c r="C62" s="3" t="s">
        <v>21</v>
      </c>
      <c r="D62" s="3" t="s">
        <v>67</v>
      </c>
      <c r="E62" s="3">
        <v>25</v>
      </c>
      <c r="F62" s="3" t="s">
        <v>66</v>
      </c>
      <c r="G62" s="3">
        <v>20</v>
      </c>
      <c r="H62" s="3">
        <v>25</v>
      </c>
      <c r="I62" s="3">
        <v>30</v>
      </c>
      <c r="J62" s="3"/>
      <c r="K62" s="3" t="s">
        <v>103</v>
      </c>
      <c r="P62">
        <f>IF(E62=[1]Sheet1!E62,1,0)</f>
        <v>0</v>
      </c>
      <c r="Q62">
        <f>IF(F62=[1]Sheet1!F62,1,0)</f>
        <v>1</v>
      </c>
      <c r="R62">
        <f>IF(G62=[1]Sheet1!G62,1,0)</f>
        <v>0</v>
      </c>
      <c r="S62">
        <f>IF(H62=[1]Sheet1!H62,1,0)</f>
        <v>0</v>
      </c>
      <c r="T62">
        <f>IF(I62=[1]Sheet1!I62,1,0)</f>
        <v>0</v>
      </c>
    </row>
    <row r="63" spans="1:20" x14ac:dyDescent="0.35">
      <c r="A63" s="3" t="s">
        <v>144</v>
      </c>
      <c r="B63" s="3" t="s">
        <v>154</v>
      </c>
      <c r="C63" s="3" t="s">
        <v>21</v>
      </c>
      <c r="D63" s="3" t="s">
        <v>65</v>
      </c>
      <c r="E63" s="3">
        <v>3.9899999999999996E-3</v>
      </c>
      <c r="F63" s="3" t="s">
        <v>66</v>
      </c>
      <c r="G63" s="3">
        <v>3.192E-3</v>
      </c>
      <c r="H63" s="3">
        <v>3.9899999999999996E-3</v>
      </c>
      <c r="I63" s="3">
        <v>4.7879999999999997E-3</v>
      </c>
      <c r="J63" s="3"/>
      <c r="K63" s="3" t="s">
        <v>82</v>
      </c>
      <c r="P63">
        <f>IF(E63=[1]Sheet1!E63,1,0)</f>
        <v>0</v>
      </c>
      <c r="Q63">
        <f>IF(F63=[1]Sheet1!F63,1,0)</f>
        <v>1</v>
      </c>
      <c r="R63">
        <f>IF(G63=[1]Sheet1!G63,1,0)</f>
        <v>0</v>
      </c>
      <c r="S63">
        <f>IF(H63=[1]Sheet1!H63,1,0)</f>
        <v>0</v>
      </c>
      <c r="T63">
        <f>IF(I63=[1]Sheet1!I63,1,0)</f>
        <v>0</v>
      </c>
    </row>
    <row r="64" spans="1:20" x14ac:dyDescent="0.35">
      <c r="A64" s="3" t="s">
        <v>145</v>
      </c>
      <c r="B64" s="3" t="s">
        <v>156</v>
      </c>
      <c r="C64" s="3" t="s">
        <v>21</v>
      </c>
      <c r="D64" s="3" t="s">
        <v>65</v>
      </c>
      <c r="E64" s="3">
        <v>0.06</v>
      </c>
      <c r="F64" s="3" t="s">
        <v>66</v>
      </c>
      <c r="G64" s="3">
        <v>4.8000000000000001E-2</v>
      </c>
      <c r="H64" s="3">
        <v>0.06</v>
      </c>
      <c r="I64" s="3">
        <v>7.1999999999999995E-2</v>
      </c>
      <c r="J64" s="3"/>
      <c r="K64" s="3" t="s">
        <v>83</v>
      </c>
      <c r="P64">
        <f>IF(E64=[1]Sheet1!E64,1,0)</f>
        <v>0</v>
      </c>
      <c r="Q64">
        <f>IF(F64=[1]Sheet1!F64,1,0)</f>
        <v>0</v>
      </c>
      <c r="R64">
        <f>IF(G64=[1]Sheet1!G64,1,0)</f>
        <v>0</v>
      </c>
      <c r="S64">
        <f>IF(H64=[1]Sheet1!H64,1,0)</f>
        <v>0</v>
      </c>
      <c r="T64">
        <f>IF(I64=[1]Sheet1!I64,1,0)</f>
        <v>0</v>
      </c>
    </row>
    <row r="65" spans="1:20" x14ac:dyDescent="0.35">
      <c r="A65" s="3" t="s">
        <v>146</v>
      </c>
      <c r="B65" s="3" t="s">
        <v>157</v>
      </c>
      <c r="C65" s="3" t="s">
        <v>21</v>
      </c>
      <c r="D65" s="3" t="s">
        <v>65</v>
      </c>
      <c r="E65" s="3">
        <v>0.02</v>
      </c>
      <c r="F65" s="3" t="s">
        <v>66</v>
      </c>
      <c r="G65" s="3">
        <v>1.6E-2</v>
      </c>
      <c r="H65" s="3">
        <v>0.02</v>
      </c>
      <c r="I65" s="3">
        <v>2.4E-2</v>
      </c>
      <c r="J65" s="3"/>
      <c r="K65" s="3" t="s">
        <v>84</v>
      </c>
      <c r="P65">
        <f>IF(E65=[1]Sheet1!E65,1,0)</f>
        <v>0</v>
      </c>
      <c r="Q65">
        <f>IF(F65=[1]Sheet1!F65,1,0)</f>
        <v>0</v>
      </c>
      <c r="R65">
        <f>IF(G65=[1]Sheet1!G65,1,0)</f>
        <v>0</v>
      </c>
      <c r="S65">
        <f>IF(H65=[1]Sheet1!H65,1,0)</f>
        <v>0</v>
      </c>
      <c r="T65">
        <f>IF(I65=[1]Sheet1!I65,1,0)</f>
        <v>0</v>
      </c>
    </row>
    <row r="66" spans="1:20" x14ac:dyDescent="0.35">
      <c r="A66" s="3" t="s">
        <v>158</v>
      </c>
      <c r="B66" s="3" t="s">
        <v>178</v>
      </c>
      <c r="C66" s="3" t="s">
        <v>21</v>
      </c>
      <c r="D66" s="3" t="s">
        <v>65</v>
      </c>
      <c r="E66" s="3">
        <v>5.81</v>
      </c>
      <c r="F66" s="3" t="s">
        <v>66</v>
      </c>
      <c r="G66" s="5">
        <f>E66*0.8</f>
        <v>4.6479999999999997</v>
      </c>
      <c r="H66" s="5">
        <f>E66</f>
        <v>5.81</v>
      </c>
      <c r="I66" s="5">
        <f>1.2*E66</f>
        <v>6.9719999999999995</v>
      </c>
      <c r="J66" s="3"/>
      <c r="K66" s="3" t="s">
        <v>159</v>
      </c>
      <c r="P66">
        <f>IF(E66=[1]Sheet1!E66,1,0)</f>
        <v>0</v>
      </c>
      <c r="Q66">
        <f>IF(F66=[1]Sheet1!F66,1,0)</f>
        <v>0</v>
      </c>
      <c r="R66">
        <f>IF(G66=[1]Sheet1!G66,1,0)</f>
        <v>0</v>
      </c>
      <c r="S66">
        <f>IF(H66=[1]Sheet1!H66,1,0)</f>
        <v>0</v>
      </c>
      <c r="T66">
        <f>IF(I66=[1]Sheet1!I66,1,0)</f>
        <v>0</v>
      </c>
    </row>
    <row r="67" spans="1:20" x14ac:dyDescent="0.35">
      <c r="A67" s="3" t="s">
        <v>160</v>
      </c>
      <c r="B67" s="3" t="s">
        <v>178</v>
      </c>
      <c r="C67" s="3" t="s">
        <v>21</v>
      </c>
      <c r="D67" s="3" t="s">
        <v>67</v>
      </c>
      <c r="E67" s="5">
        <v>4.9999999999999998E-7</v>
      </c>
      <c r="F67" s="3" t="s">
        <v>66</v>
      </c>
      <c r="G67" s="5">
        <f>E67*0.8</f>
        <v>3.9999999999999998E-7</v>
      </c>
      <c r="H67" s="5">
        <f>E67</f>
        <v>4.9999999999999998E-7</v>
      </c>
      <c r="I67" s="5">
        <f>1.2*E67</f>
        <v>5.9999999999999997E-7</v>
      </c>
      <c r="J67" s="3"/>
      <c r="K67" s="3" t="s">
        <v>161</v>
      </c>
      <c r="P67">
        <f>IF(E67=[1]Sheet1!E67,1,0)</f>
        <v>0</v>
      </c>
      <c r="Q67">
        <f>IF(F67=[1]Sheet1!F67,1,0)</f>
        <v>0</v>
      </c>
      <c r="R67">
        <f>IF(G67=[1]Sheet1!G67,1,0)</f>
        <v>0</v>
      </c>
      <c r="S67">
        <f>IF(H67=[1]Sheet1!H67,1,0)</f>
        <v>0</v>
      </c>
      <c r="T67">
        <f>IF(I67=[1]Sheet1!I67,1,0)</f>
        <v>0</v>
      </c>
    </row>
    <row r="68" spans="1:20" x14ac:dyDescent="0.35">
      <c r="A68" s="3" t="s">
        <v>162</v>
      </c>
      <c r="B68" s="3" t="s">
        <v>179</v>
      </c>
      <c r="C68" s="3" t="s">
        <v>21</v>
      </c>
      <c r="D68" s="3" t="s">
        <v>65</v>
      </c>
      <c r="E68" s="3">
        <v>4.8</v>
      </c>
      <c r="F68" s="3" t="s">
        <v>66</v>
      </c>
      <c r="G68" s="5">
        <f t="shared" ref="G68:G75" si="2">E68*0.8</f>
        <v>3.84</v>
      </c>
      <c r="H68" s="5">
        <f t="shared" ref="H68:H75" si="3">E68</f>
        <v>4.8</v>
      </c>
      <c r="I68" s="5">
        <f t="shared" ref="I68:I75" si="4">1.2*E68</f>
        <v>5.76</v>
      </c>
      <c r="J68" s="3"/>
      <c r="K68" s="3" t="s">
        <v>163</v>
      </c>
      <c r="P68">
        <f>IF(E68=[1]Sheet1!E68,1,0)</f>
        <v>0</v>
      </c>
      <c r="Q68">
        <f>IF(F68=[1]Sheet1!F68,1,0)</f>
        <v>0</v>
      </c>
      <c r="R68">
        <f>IF(G68=[1]Sheet1!G68,1,0)</f>
        <v>0</v>
      </c>
      <c r="S68">
        <f>IF(H68=[1]Sheet1!H68,1,0)</f>
        <v>0</v>
      </c>
      <c r="T68">
        <f>IF(I68=[1]Sheet1!I68,1,0)</f>
        <v>0</v>
      </c>
    </row>
    <row r="69" spans="1:20" x14ac:dyDescent="0.35">
      <c r="A69" s="3" t="s">
        <v>164</v>
      </c>
      <c r="B69" s="3" t="s">
        <v>179</v>
      </c>
      <c r="C69" s="3" t="s">
        <v>21</v>
      </c>
      <c r="D69" s="3" t="s">
        <v>67</v>
      </c>
      <c r="E69" s="5">
        <v>2.6400000000000002E-4</v>
      </c>
      <c r="F69" s="3" t="s">
        <v>66</v>
      </c>
      <c r="G69" s="5">
        <f t="shared" si="2"/>
        <v>2.1120000000000004E-4</v>
      </c>
      <c r="H69" s="5">
        <f t="shared" si="3"/>
        <v>2.6400000000000002E-4</v>
      </c>
      <c r="I69" s="5">
        <f t="shared" si="4"/>
        <v>3.168E-4</v>
      </c>
      <c r="J69" s="3"/>
      <c r="K69" s="3" t="s">
        <v>165</v>
      </c>
      <c r="P69">
        <f>IF(E69=[1]Sheet1!E69,1,0)</f>
        <v>0</v>
      </c>
      <c r="Q69">
        <f>IF(F69=[1]Sheet1!F69,1,0)</f>
        <v>0</v>
      </c>
      <c r="R69">
        <f>IF(G69=[1]Sheet1!G69,1,0)</f>
        <v>0</v>
      </c>
      <c r="S69">
        <f>IF(H69=[1]Sheet1!H69,1,0)</f>
        <v>0</v>
      </c>
      <c r="T69">
        <f>IF(I69=[1]Sheet1!I69,1,0)</f>
        <v>0</v>
      </c>
    </row>
    <row r="70" spans="1:20" x14ac:dyDescent="0.35">
      <c r="A70" s="3" t="s">
        <v>166</v>
      </c>
      <c r="B70" s="3" t="s">
        <v>180</v>
      </c>
      <c r="C70" s="3" t="s">
        <v>21</v>
      </c>
      <c r="D70" s="3" t="s">
        <v>65</v>
      </c>
      <c r="E70" s="3">
        <v>4.8</v>
      </c>
      <c r="F70" s="3" t="s">
        <v>66</v>
      </c>
      <c r="G70" s="5">
        <f t="shared" si="2"/>
        <v>3.84</v>
      </c>
      <c r="H70" s="5">
        <f t="shared" si="3"/>
        <v>4.8</v>
      </c>
      <c r="I70" s="5">
        <f t="shared" si="4"/>
        <v>5.76</v>
      </c>
      <c r="J70" s="3"/>
      <c r="K70" s="3" t="s">
        <v>167</v>
      </c>
      <c r="P70">
        <f>IF(E70=[1]Sheet1!E70,1,0)</f>
        <v>0</v>
      </c>
      <c r="Q70">
        <f>IF(F70=[1]Sheet1!F70,1,0)</f>
        <v>0</v>
      </c>
      <c r="R70">
        <f>IF(G70=[1]Sheet1!G70,1,0)</f>
        <v>0</v>
      </c>
      <c r="S70">
        <f>IF(H70=[1]Sheet1!H70,1,0)</f>
        <v>0</v>
      </c>
      <c r="T70">
        <f>IF(I70=[1]Sheet1!I70,1,0)</f>
        <v>0</v>
      </c>
    </row>
    <row r="71" spans="1:20" x14ac:dyDescent="0.35">
      <c r="A71" s="3" t="s">
        <v>168</v>
      </c>
      <c r="B71" s="3" t="s">
        <v>180</v>
      </c>
      <c r="C71" s="3" t="s">
        <v>21</v>
      </c>
      <c r="D71" s="3" t="s">
        <v>67</v>
      </c>
      <c r="E71" s="5">
        <v>2.6400000000000002E-4</v>
      </c>
      <c r="F71" s="3" t="s">
        <v>66</v>
      </c>
      <c r="G71" s="5">
        <f t="shared" si="2"/>
        <v>2.1120000000000004E-4</v>
      </c>
      <c r="H71" s="5">
        <f t="shared" si="3"/>
        <v>2.6400000000000002E-4</v>
      </c>
      <c r="I71" s="5">
        <f t="shared" si="4"/>
        <v>3.168E-4</v>
      </c>
      <c r="J71" s="3"/>
      <c r="K71" s="3" t="s">
        <v>169</v>
      </c>
      <c r="P71">
        <f>IF(E71=[1]Sheet1!E71,1,0)</f>
        <v>0</v>
      </c>
      <c r="Q71">
        <f>IF(F71=[1]Sheet1!F71,1,0)</f>
        <v>0</v>
      </c>
      <c r="R71">
        <f>IF(G71=[1]Sheet1!G71,1,0)</f>
        <v>0</v>
      </c>
      <c r="S71">
        <f>IF(H71=[1]Sheet1!H71,1,0)</f>
        <v>0</v>
      </c>
      <c r="T71">
        <f>IF(I71=[1]Sheet1!I71,1,0)</f>
        <v>0</v>
      </c>
    </row>
    <row r="72" spans="1:20" x14ac:dyDescent="0.35">
      <c r="A72" s="3" t="s">
        <v>170</v>
      </c>
      <c r="B72" s="3" t="s">
        <v>181</v>
      </c>
      <c r="C72" s="3" t="s">
        <v>21</v>
      </c>
      <c r="D72" s="3" t="s">
        <v>65</v>
      </c>
      <c r="E72" s="3">
        <v>2.82</v>
      </c>
      <c r="F72" s="3" t="s">
        <v>66</v>
      </c>
      <c r="G72" s="5">
        <f t="shared" si="2"/>
        <v>2.2559999999999998</v>
      </c>
      <c r="H72" s="5">
        <f t="shared" si="3"/>
        <v>2.82</v>
      </c>
      <c r="I72" s="5">
        <f t="shared" si="4"/>
        <v>3.3839999999999999</v>
      </c>
      <c r="J72" s="3"/>
      <c r="K72" s="3" t="s">
        <v>171</v>
      </c>
      <c r="P72">
        <f>IF(E72=[1]Sheet1!E72,1,0)</f>
        <v>0</v>
      </c>
      <c r="Q72">
        <f>IF(F72=[1]Sheet1!F72,1,0)</f>
        <v>0</v>
      </c>
      <c r="R72">
        <f>IF(G72=[1]Sheet1!G72,1,0)</f>
        <v>0</v>
      </c>
      <c r="S72">
        <f>IF(H72=[1]Sheet1!H72,1,0)</f>
        <v>0</v>
      </c>
      <c r="T72">
        <f>IF(I72=[1]Sheet1!I72,1,0)</f>
        <v>0</v>
      </c>
    </row>
    <row r="73" spans="1:20" x14ac:dyDescent="0.35">
      <c r="A73" s="3" t="s">
        <v>172</v>
      </c>
      <c r="B73" s="3" t="s">
        <v>181</v>
      </c>
      <c r="C73" s="3" t="s">
        <v>21</v>
      </c>
      <c r="D73" s="3" t="s">
        <v>65</v>
      </c>
      <c r="E73" s="3">
        <v>1.2500000000000001E-2</v>
      </c>
      <c r="F73" s="3" t="s">
        <v>66</v>
      </c>
      <c r="G73" s="5">
        <f t="shared" si="2"/>
        <v>1.0000000000000002E-2</v>
      </c>
      <c r="H73" s="5">
        <f t="shared" si="3"/>
        <v>1.2500000000000001E-2</v>
      </c>
      <c r="I73" s="5">
        <f t="shared" si="4"/>
        <v>1.4999999999999999E-2</v>
      </c>
      <c r="J73" s="3"/>
      <c r="K73" s="3" t="s">
        <v>173</v>
      </c>
      <c r="P73">
        <f>IF(E73=[1]Sheet1!E73,1,0)</f>
        <v>0</v>
      </c>
      <c r="Q73">
        <f>IF(F73=[1]Sheet1!F73,1,0)</f>
        <v>0</v>
      </c>
      <c r="R73">
        <f>IF(G73=[1]Sheet1!G73,1,0)</f>
        <v>0</v>
      </c>
      <c r="S73">
        <f>IF(H73=[1]Sheet1!H73,1,0)</f>
        <v>0</v>
      </c>
      <c r="T73">
        <f>IF(I73=[1]Sheet1!I73,1,0)</f>
        <v>0</v>
      </c>
    </row>
    <row r="74" spans="1:20" x14ac:dyDescent="0.35">
      <c r="A74" s="3" t="s">
        <v>174</v>
      </c>
      <c r="B74" s="3" t="s">
        <v>181</v>
      </c>
      <c r="C74" s="3" t="s">
        <v>21</v>
      </c>
      <c r="D74" s="3" t="s">
        <v>67</v>
      </c>
      <c r="E74" s="3">
        <v>3.4000000000000002E-2</v>
      </c>
      <c r="F74" s="3" t="s">
        <v>66</v>
      </c>
      <c r="G74" s="5">
        <f t="shared" si="2"/>
        <v>2.7200000000000002E-2</v>
      </c>
      <c r="H74" s="5">
        <f t="shared" si="3"/>
        <v>3.4000000000000002E-2</v>
      </c>
      <c r="I74" s="5">
        <f t="shared" si="4"/>
        <v>4.0800000000000003E-2</v>
      </c>
      <c r="J74" s="3"/>
      <c r="K74" s="3" t="s">
        <v>175</v>
      </c>
      <c r="P74">
        <f>IF(E74=[1]Sheet1!E74,1,0)</f>
        <v>0</v>
      </c>
      <c r="Q74">
        <f>IF(F74=[1]Sheet1!F74,1,0)</f>
        <v>0</v>
      </c>
      <c r="R74">
        <f>IF(G74=[1]Sheet1!G74,1,0)</f>
        <v>0</v>
      </c>
      <c r="S74">
        <f>IF(H74=[1]Sheet1!H74,1,0)</f>
        <v>0</v>
      </c>
      <c r="T74">
        <f>IF(I74=[1]Sheet1!I74,1,0)</f>
        <v>0</v>
      </c>
    </row>
    <row r="75" spans="1:20" x14ac:dyDescent="0.35">
      <c r="A75" s="3" t="s">
        <v>176</v>
      </c>
      <c r="B75" s="3" t="s">
        <v>181</v>
      </c>
      <c r="C75" s="3" t="s">
        <v>21</v>
      </c>
      <c r="D75" s="3" t="s">
        <v>67</v>
      </c>
      <c r="E75" s="3">
        <v>5.7000000000000002E-2</v>
      </c>
      <c r="F75" s="3" t="s">
        <v>66</v>
      </c>
      <c r="G75" s="5">
        <f t="shared" si="2"/>
        <v>4.5600000000000002E-2</v>
      </c>
      <c r="H75" s="5">
        <f t="shared" si="3"/>
        <v>5.7000000000000002E-2</v>
      </c>
      <c r="I75" s="5">
        <f t="shared" si="4"/>
        <v>6.8400000000000002E-2</v>
      </c>
      <c r="J75" s="3"/>
      <c r="K75" s="3" t="s">
        <v>177</v>
      </c>
      <c r="P75">
        <f>IF(E75=[1]Sheet1!E75,1,0)</f>
        <v>0</v>
      </c>
      <c r="Q75">
        <f>IF(F75=[1]Sheet1!F75,1,0)</f>
        <v>0</v>
      </c>
      <c r="R75">
        <f>IF(G75=[1]Sheet1!G75,1,0)</f>
        <v>0</v>
      </c>
      <c r="S75">
        <f>IF(H75=[1]Sheet1!H75,1,0)</f>
        <v>0</v>
      </c>
      <c r="T75">
        <f>IF(I75=[1]Sheet1!I75,1,0)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Sarang Bhagwat</cp:lastModifiedBy>
  <dcterms:created xsi:type="dcterms:W3CDTF">2015-06-05T18:17:20Z</dcterms:created>
  <dcterms:modified xsi:type="dcterms:W3CDTF">2026-08-06T06:38:52Z</dcterms:modified>
</cp:coreProperties>
</file>