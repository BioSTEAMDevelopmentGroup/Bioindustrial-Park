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F5BD481-464D-4160-B6D3-98D4223FAAF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<sst xmlns="http://schemas.openxmlformats.org/spreadsheetml/2006/main" count="455" uniqueCount="194">
  <si>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</si>
  <si>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</si>
  <si>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</si>
  <si>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</si>
  <si>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</si>
  <si>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</si>
  <si>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</si>
  <si>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</si>
  <si>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</si>
  <si>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</si>
  <si>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</si>
  <si>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</si>
  <si>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</si>
  <si>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</si>
  <si>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</si>
  <si>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</si>
  <si>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</si>
  <si>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</si>
  <si>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</si>
  <si>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</si>
  <si>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</si>
  <si>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</si>
  <si>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</si>
  <si>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</si>
  <si>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</si>
  <si>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</si>
  <si>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</si>
  <si>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</si>
  <si>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</si>
  <si>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</si>
  <si>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</si>
  <si>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</si>
  <si>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</si>
  <si>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</si>
  <si>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</si>
  <si>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</si>
  <si>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</si>
  <si>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</si>
  <si>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</si>
  <si>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</si>
  <si>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</si>
  <si>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</si>
  <si>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</si>
  <si>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</si>
  <si>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</si>
  <si>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</si>
  <si>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</si>
  <si>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</si>
  <si>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</si>
  <si>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</si>
  <si>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</si>
  <si>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</si>
  <si>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</si>
  <si>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</si>
  <si>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</si>
  <si>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</si>
  <si>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V406.nsk_kinetic_model._te.k_2 = x</t>
  </si>
  <si>
    <t>V406.nsk_kinetic_model._te.k_1e = x</t>
  </si>
  <si>
    <t>V406.nsk_kinetic_model._te.k_1h = x</t>
  </si>
  <si>
    <t>V406.nsk_kinetic_model._te.k_1ie = x</t>
  </si>
  <si>
    <t>V406.nsk_kinetic_model._te.k_1ia = x</t>
  </si>
  <si>
    <t>V406.nsk_kinetic_model._te.k_1ii = x</t>
  </si>
  <si>
    <t>V406.nsk_kinetic_model._te.k_1l = x</t>
  </si>
  <si>
    <t>V406.nsk_kinetic_model._te.k_3 = x</t>
  </si>
  <si>
    <t>V406.nsk_kinetic_model._te.k_4 = x</t>
  </si>
  <si>
    <t>g_per_l_per_h</t>
  </si>
  <si>
    <t>triangular</t>
  </si>
  <si>
    <t>g_per_l</t>
  </si>
  <si>
    <t>V406.nsk_kinetic_model._te.k_4ie = x</t>
  </si>
  <si>
    <t>V406.nsk_kinetic_model._te.k_4ia = x</t>
  </si>
  <si>
    <t>V406.nsk_kinetic_model._te.k_4ii = x</t>
  </si>
  <si>
    <t>V406.nsk_kinetic_model._te.k_5 = x</t>
  </si>
  <si>
    <t>V406.nsk_kinetic_model._te.k_5e = x</t>
  </si>
  <si>
    <t>V406.nsk_kinetic_model._te.k_6 = x</t>
  </si>
  <si>
    <t>V406.nsk_kinetic_model._te.k_6r = x</t>
  </si>
  <si>
    <t>V406.nsk_kinetic_model._te.k_7 = x</t>
  </si>
  <si>
    <t>V406.nsk_kinetic_model._te.k_7ie = x</t>
  </si>
  <si>
    <t>V406.nsk_kinetic_model._te.k_7ia = x</t>
  </si>
  <si>
    <t>V406.nsk_kinetic_model._te.k_7ii = x</t>
  </si>
  <si>
    <t>V406.nsk_kinetic_model._te.k_8 = x</t>
  </si>
  <si>
    <t>V406.nsk_kinetic_model._te.k_9 = x</t>
  </si>
  <si>
    <t>V406.nsk_kinetic_model._te.k_9e = x</t>
  </si>
  <si>
    <t>V406.nsk_kinetic_model._te.k_9c = x</t>
  </si>
  <si>
    <t>V406.nsk_kinetic_model._te.k_10 = x</t>
  </si>
  <si>
    <t>V406.nsk_kinetic_model._te.k_11 = x</t>
  </si>
  <si>
    <t>lime.price = x</t>
  </si>
  <si>
    <t>sulfuric_acid.price = x</t>
  </si>
  <si>
    <t>V406.nsk_kinetic_model._te.K_1l = x</t>
  </si>
  <si>
    <t>V406.nsk_kinetic_model._te.K_1h = x</t>
  </si>
  <si>
    <t>V406.nsk_kinetic_model._te.K_1i = x</t>
  </si>
  <si>
    <t>V406.nsk_kinetic_model._te.K_1e = x</t>
  </si>
  <si>
    <t>V406.nsk_kinetic_model._te.K_2 = x</t>
  </si>
  <si>
    <t>V406.nsk_kinetic_model._te.K_2i = x</t>
  </si>
  <si>
    <t>V406.nsk_kinetic_model._te.K_3 = x</t>
  </si>
  <si>
    <t>V406.nsk_kinetic_model._te.K_4 = x</t>
  </si>
  <si>
    <t>V406.nsk_kinetic_model._te.K_5 = x</t>
  </si>
  <si>
    <t>V406.nsk_kinetic_model._te.K_5e = x</t>
  </si>
  <si>
    <t>V406.nsk_kinetic_model._te.K_5i = x</t>
  </si>
  <si>
    <t>V406.nsk_kinetic_model._te.K_6 = x</t>
  </si>
  <si>
    <t>V406.nsk_kinetic_model._te.K_6e = x</t>
  </si>
  <si>
    <t>V406.nsk_kinetic_model._te.K_7 = x</t>
  </si>
  <si>
    <t>V406.nsk_kinetic_model._te.K_9 = x</t>
  </si>
  <si>
    <t>V406.nsk_kinetic_model._te.K_9e = x</t>
  </si>
  <si>
    <t>V406.nsk_kinetic_model._te.K_9i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</si>
  <si>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</si>
  <si>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</si>
  <si>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</si>
  <si>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</si>
  <si>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</si>
  <si>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</si>
  <si>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</si>
  <si>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</si>
  <si>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</si>
  <si>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</si>
  <si>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</si>
  <si>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</si>
  <si>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</si>
  <si>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</si>
  <si>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</si>
  <si>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</si>
  <si>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</si>
  <si>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</si>
  <si>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</si>
  <si>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</si>
  <si>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</si>
  <si>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</si>
  <si>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</si>
  <si>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</si>
  <si>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</si>
  <si>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</si>
  <si>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</si>
  <si>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</si>
  <si>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</si>
  <si>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</si>
  <si>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</si>
  <si>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</si>
  <si>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</si>
  <si>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</si>
  <si>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</si>
  <si>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</si>
  <si>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</si>
  <si>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</si>
  <si>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</si>
  <si>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</si>
  <si>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</si>
  <si>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</si>
  <si>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</si>
  <si>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</si>
  <si>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</si>
  <si>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</si>
  <si>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</si>
  <si>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</si>
  <si>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</si>
  <si>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</si>
  <si>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</si>
  <si>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</si>
  <si>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</si>
  <si>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</si>
  <si>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</si>
  <si>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V406.nsk_kinetic_model._te.k_13 = x</t>
  </si>
  <si>
    <t>K_13</t>
  </si>
  <si>
    <t>V406.nsk_kinetic_model._te.K_13 = x</t>
  </si>
  <si>
    <t>._k_14</t>
  </si>
  <si>
    <t>V406.nsk_kinetic_model._te.k_14 = x</t>
  </si>
  <si>
    <t>K_14</t>
  </si>
  <si>
    <t>V406.nsk_kinetic_model._te.K_14 = x</t>
  </si>
  <si>
    <t>._k_15</t>
  </si>
  <si>
    <t>V406.nsk_kinetic_model._te.k_15 = x</t>
  </si>
  <si>
    <t>K_15</t>
  </si>
  <si>
    <t>V406.nsk_kinetic_model._te.K_15 = x</t>
  </si>
  <si>
    <t>._k_16</t>
  </si>
  <si>
    <t>V406.nsk_kinetic_model._te.k_16 = x</t>
  </si>
  <si>
    <t>._k_16r</t>
  </si>
  <si>
    <t>V406.nsk_kinetic_model._te.k_16r = x</t>
  </si>
  <si>
    <t>K_16</t>
  </si>
  <si>
    <t>V406.nsk_kinetic_model._te.K_16 = x</t>
  </si>
  <si>
    <t>K_16i</t>
  </si>
  <si>
    <t>V406.nsk_kinetic_model._te.K_16i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</si>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</sst>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Uniform</v>
          </cell>
          <cell r="G13">
            <v>8.2840000000000011E-2</v>
          </cell>
          <cell r="I13">
            <v>0.12426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3"/>
  <sheetViews>
    <sheetView tabSelected="1" zoomScale="70" zoomScaleNormal="70" workbookViewId="0">
      <selection activeCell="H15" sqref="H15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6" t="s">
        <v>35</v>
      </c>
      <c r="B13" s="6" t="s">
        <v>7</v>
      </c>
      <c r="C13" s="6" t="s">
        <v>20</v>
      </c>
      <c r="D13" s="6" t="s">
        <v>10</v>
      </c>
      <c r="E13" s="6">
        <v>0.28599999999999998</v>
      </c>
      <c r="F13" s="6" t="s">
        <v>27</v>
      </c>
      <c r="G13" s="6">
        <v>0.17499999999999999</v>
      </c>
      <c r="H13" s="6">
        <v>0.28599999999999998</v>
      </c>
      <c r="I13" s="6">
        <v>0.315</v>
      </c>
      <c r="J13" s="6"/>
      <c r="K13" s="6" t="s">
        <v>85</v>
      </c>
      <c r="P13">
        <f>IF(E13=[1]Sheet1!E13,1,0)</f>
        <v>0</v>
      </c>
      <c r="Q13">
        <f>IF(F13=[1]Sheet1!F13,1,0)</f>
        <v>0</v>
      </c>
      <c r="R13">
        <f>IF(G13=[1]Sheet1!G13,1,0)</f>
        <v>0</v>
      </c>
      <c r="S13">
        <f>IF(H13=[1]Sheet1!H13,1,0)</f>
        <v>0</v>
      </c>
      <c r="T13">
        <f>IF(I13=[1]Sheet1!I13,1,0)</f>
        <v>0</v>
      </c>
    </row>
    <row r="14" spans="1:20" x14ac:dyDescent="0.35">
      <c r="A14" s="6" t="s">
        <v>36</v>
      </c>
      <c r="B14" s="6" t="s">
        <v>7</v>
      </c>
      <c r="C14" s="6" t="s">
        <v>20</v>
      </c>
      <c r="D14" s="6" t="s">
        <v>10</v>
      </c>
      <c r="E14" s="6">
        <v>0.10355</v>
      </c>
      <c r="F14" s="6" t="s">
        <v>18</v>
      </c>
      <c r="G14" s="6">
        <f>E14*0.8</f>
        <v>8.2840000000000011E-2</v>
      </c>
      <c r="H14" s="6"/>
      <c r="I14" s="6">
        <f>E14*1.2</f>
        <v>0.12426</v>
      </c>
      <c r="J14" s="6"/>
      <c r="K14" s="6" t="s">
        <v>86</v>
      </c>
      <c r="P14">
        <f>IF(E14=[1]Sheet1!E14,1,0)</f>
        <v>0</v>
      </c>
      <c r="Q14">
        <f>IF(F14=[1]Sheet1!F14,1,0)</f>
        <v>1</v>
      </c>
      <c r="R14">
        <f>IF(G14=[1]Sheet1!G14,1,0)</f>
        <v>0</v>
      </c>
      <c r="S14">
        <f>IF(H14=[1]Sheet1!H14,1,0)</f>
        <v>1</v>
      </c>
      <c r="T14">
        <f>IF(I14=[1]Sheet1!I14,1,0)</f>
        <v>0</v>
      </c>
    </row>
    <row r="15" spans="1:20" x14ac:dyDescent="0.35">
      <c r="A15" s="3" t="s">
        <v>31</v>
      </c>
      <c r="B15" s="3" t="s">
        <v>7</v>
      </c>
      <c r="C15" s="3" t="s">
        <v>20</v>
      </c>
      <c r="D15" s="3" t="s">
        <v>8</v>
      </c>
      <c r="E15" s="3">
        <v>0.21</v>
      </c>
      <c r="F15" s="3" t="s">
        <v>18</v>
      </c>
      <c r="G15" s="3">
        <v>0.15</v>
      </c>
      <c r="H15" s="3"/>
      <c r="I15" s="3">
        <v>0.28000000000000003</v>
      </c>
      <c r="J15" s="3"/>
      <c r="K15" s="3" t="s">
        <v>34</v>
      </c>
      <c r="P15">
        <f>IF(E15=[1]Sheet1!E15,1,0)</f>
        <v>0</v>
      </c>
      <c r="Q15">
        <f>IF(F15=[1]Sheet1!F15,1,0)</f>
        <v>0</v>
      </c>
      <c r="R15">
        <f>IF(G15=[1]Sheet1!G15,1,0)</f>
        <v>0</v>
      </c>
      <c r="S15">
        <f>IF(H15=[1]Sheet1!H15,1,0)</f>
        <v>0</v>
      </c>
      <c r="T15">
        <f>IF(I15=[1]Sheet1!I15,1,0)</f>
        <v>0</v>
      </c>
    </row>
    <row r="16" spans="1:20" x14ac:dyDescent="0.35">
      <c r="A16" s="3" t="s">
        <v>185</v>
      </c>
      <c r="B16" s="3" t="s">
        <v>39</v>
      </c>
      <c r="C16" s="3" t="s">
        <v>21</v>
      </c>
      <c r="D16" s="3" t="s">
        <v>192</v>
      </c>
      <c r="E16" s="3">
        <v>0.72</v>
      </c>
      <c r="F16" s="3" t="s">
        <v>27</v>
      </c>
      <c r="G16" s="3">
        <f>0.8*H16</f>
        <v>0.57599999999999996</v>
      </c>
      <c r="H16" s="3">
        <f>E16</f>
        <v>0.72</v>
      </c>
      <c r="I16" s="3">
        <f>1.2*H16</f>
        <v>0.86399999999999999</v>
      </c>
      <c r="J16" s="3"/>
      <c r="K16" s="3" t="s">
        <v>193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  <c r="P17">
        <f>IF(E17=[1]Sheet1!E17,1,0)</f>
        <v>0</v>
      </c>
      <c r="Q17">
        <f>IF(F17=[1]Sheet1!F17,1,0)</f>
        <v>1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187</v>
      </c>
      <c r="B18" s="3" t="s">
        <v>188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189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  <c r="P20">
        <f>IF(E20=[1]Sheet1!E20,1,0)</f>
        <v>0</v>
      </c>
      <c r="Q20">
        <f>IF(F20=[1]Sheet1!F20,1,0)</f>
        <v>1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  <c r="P27">
        <f>IF(E27=[1]Sheet1!E27,1,0)</f>
        <v>1</v>
      </c>
      <c r="Q27">
        <f>IF(F27=[1]Sheet1!F27,1,0)</f>
        <v>1</v>
      </c>
      <c r="R27">
        <f>IF(G27=[1]Sheet1!G27,1,0)</f>
        <v>1</v>
      </c>
      <c r="S27">
        <f>IF(H27=[1]Sheet1!H27,1,0)</f>
        <v>1</v>
      </c>
      <c r="T27">
        <f>IF(I27=[1]Sheet1!I27,1,0)</f>
        <v>1</v>
      </c>
    </row>
    <row r="28" spans="1:20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  <c r="P28">
        <f>IF(E28=[1]Sheet1!E28,1,0)</f>
        <v>1</v>
      </c>
      <c r="Q28">
        <f>IF(F28=[1]Sheet1!F28,1,0)</f>
        <v>1</v>
      </c>
      <c r="R28">
        <f>IF(G28=[1]Sheet1!G28,1,0)</f>
        <v>1</v>
      </c>
      <c r="S28">
        <f>IF(H28=[1]Sheet1!H28,1,0)</f>
        <v>1</v>
      </c>
      <c r="T28">
        <f>IF(I28=[1]Sheet1!I28,1,0)</f>
        <v>1</v>
      </c>
    </row>
    <row r="29" spans="1:20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  <c r="P29">
        <f>IF(E29=[1]Sheet1!E29,1,0)</f>
        <v>0</v>
      </c>
      <c r="Q29">
        <f>IF(F29=[1]Sheet1!F29,1,0)</f>
        <v>1</v>
      </c>
      <c r="R29">
        <f>IF(G29=[1]Sheet1!G29,1,0)</f>
        <v>0</v>
      </c>
      <c r="S29">
        <f>IF(H29=[1]Sheet1!H29,1,0)</f>
        <v>0</v>
      </c>
      <c r="T29">
        <f>IF(I29=[1]Sheet1!I29,1,0)</f>
        <v>0</v>
      </c>
    </row>
    <row r="30" spans="1:20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  <c r="P30">
        <f>IF(E30=[1]Sheet1!E30,1,0)</f>
        <v>0</v>
      </c>
      <c r="Q30">
        <f>IF(F30=[1]Sheet1!F30,1,0)</f>
        <v>1</v>
      </c>
      <c r="R30">
        <f>IF(G30=[1]Sheet1!G30,1,0)</f>
        <v>0</v>
      </c>
      <c r="S30">
        <f>IF(H30=[1]Sheet1!H30,1,0)</f>
        <v>0</v>
      </c>
      <c r="T30">
        <f>IF(I30=[1]Sheet1!I30,1,0)</f>
        <v>0</v>
      </c>
    </row>
    <row r="31" spans="1:20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  <c r="P37">
        <f>IF(E37=[1]Sheet1!E37,1,0)</f>
        <v>1</v>
      </c>
      <c r="Q37">
        <f>IF(F37=[1]Sheet1!F37,1,0)</f>
        <v>1</v>
      </c>
      <c r="R37">
        <f>IF(G37=[1]Sheet1!G37,1,0)</f>
        <v>1</v>
      </c>
      <c r="S37">
        <f>IF(H37=[1]Sheet1!H37,1,0)</f>
        <v>1</v>
      </c>
      <c r="T37">
        <f>IF(I37=[1]Sheet1!I37,1,0)</f>
        <v>1</v>
      </c>
    </row>
    <row r="38" spans="1:20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  <c r="P39">
        <f>IF(E39=[1]Sheet1!E39,1,0)</f>
        <v>0</v>
      </c>
      <c r="Q39">
        <f>IF(F39=[1]Sheet1!F39,1,0)</f>
        <v>1</v>
      </c>
      <c r="R39">
        <f>IF(G39=[1]Sheet1!G39,1,0)</f>
        <v>0</v>
      </c>
      <c r="S39">
        <f>IF(H39=[1]Sheet1!H39,1,0)</f>
        <v>0</v>
      </c>
      <c r="T39">
        <f>IF(I39=[1]Sheet1!I39,1,0)</f>
        <v>0</v>
      </c>
    </row>
    <row r="40" spans="1:20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  <c r="P51">
        <f>IF(E51=[1]Sheet1!E51,1,0)</f>
        <v>1</v>
      </c>
      <c r="Q51">
        <f>IF(F51=[1]Sheet1!F51,1,0)</f>
        <v>1</v>
      </c>
      <c r="R51">
        <f>IF(G51=[1]Sheet1!G51,1,0)</f>
        <v>1</v>
      </c>
      <c r="S51">
        <f>IF(H51=[1]Sheet1!H51,1,0)</f>
        <v>1</v>
      </c>
      <c r="T51">
        <f>IF(I51=[1]Sheet1!I51,1,0)</f>
        <v>1</v>
      </c>
    </row>
    <row r="52" spans="1:20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  <c r="P53">
        <f>IF(E53=[1]Sheet1!E53,1,0)</f>
        <v>0</v>
      </c>
      <c r="Q53">
        <f>IF(F53=[1]Sheet1!F53,1,0)</f>
        <v>1</v>
      </c>
      <c r="R53">
        <f>IF(G53=[1]Sheet1!G53,1,0)</f>
        <v>0</v>
      </c>
      <c r="S53">
        <f>IF(H53=[1]Sheet1!H53,1,0)</f>
        <v>0</v>
      </c>
      <c r="T53">
        <f>IF(I53=[1]Sheet1!I53,1,0)</f>
        <v>0</v>
      </c>
    </row>
    <row r="54" spans="1:20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  <c r="P62">
        <f>IF(E62=[1]Sheet1!E62,1,0)</f>
        <v>0</v>
      </c>
      <c r="Q62">
        <f>IF(F62=[1]Sheet1!F62,1,0)</f>
        <v>0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  <c r="P63">
        <f>IF(E63=[1]Sheet1!E63,1,0)</f>
        <v>0</v>
      </c>
      <c r="Q63">
        <f>IF(F63=[1]Sheet1!F63,1,0)</f>
        <v>0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158</v>
      </c>
      <c r="B64" s="3" t="s">
        <v>178</v>
      </c>
      <c r="C64" s="3" t="s">
        <v>21</v>
      </c>
      <c r="D64" s="3" t="s">
        <v>65</v>
      </c>
      <c r="E64" s="3">
        <v>5.81</v>
      </c>
      <c r="F64" s="3" t="s">
        <v>66</v>
      </c>
      <c r="G64" s="5">
        <f>E64*0.8</f>
        <v>4.6479999999999997</v>
      </c>
      <c r="H64" s="5">
        <f>E64</f>
        <v>5.81</v>
      </c>
      <c r="I64" s="5">
        <f>1.2*E64</f>
        <v>6.9719999999999995</v>
      </c>
      <c r="J64" s="3"/>
      <c r="K64" s="3" t="s">
        <v>159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160</v>
      </c>
      <c r="B65" s="3" t="s">
        <v>178</v>
      </c>
      <c r="C65" s="3" t="s">
        <v>21</v>
      </c>
      <c r="D65" s="3" t="s">
        <v>67</v>
      </c>
      <c r="E65" s="5">
        <v>4.9999999999999998E-7</v>
      </c>
      <c r="F65" s="3" t="s">
        <v>66</v>
      </c>
      <c r="G65" s="5">
        <f>E65*0.8</f>
        <v>3.9999999999999998E-7</v>
      </c>
      <c r="H65" s="5">
        <f>E65</f>
        <v>4.9999999999999998E-7</v>
      </c>
      <c r="I65" s="5">
        <f>1.2*E65</f>
        <v>5.9999999999999997E-7</v>
      </c>
      <c r="J65" s="3"/>
      <c r="K65" s="3" t="s">
        <v>161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162</v>
      </c>
      <c r="B66" s="3" t="s">
        <v>179</v>
      </c>
      <c r="C66" s="3" t="s">
        <v>21</v>
      </c>
      <c r="D66" s="3" t="s">
        <v>65</v>
      </c>
      <c r="E66" s="3">
        <v>4.8</v>
      </c>
      <c r="F66" s="3" t="s">
        <v>66</v>
      </c>
      <c r="G66" s="5">
        <f t="shared" ref="G67:G74" si="2">E66*0.8</f>
        <v>3.84</v>
      </c>
      <c r="H66" s="5">
        <f t="shared" ref="H67:H74" si="3">E66</f>
        <v>4.8</v>
      </c>
      <c r="I66" s="5">
        <f t="shared" ref="I67:I74" si="4">1.2*E66</f>
        <v>5.76</v>
      </c>
      <c r="J66" s="3"/>
      <c r="K66" s="3" t="s">
        <v>163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164</v>
      </c>
      <c r="B67" s="3" t="s">
        <v>179</v>
      </c>
      <c r="C67" s="3" t="s">
        <v>21</v>
      </c>
      <c r="D67" s="3" t="s">
        <v>67</v>
      </c>
      <c r="E67" s="5">
        <v>2.6400000000000002E-4</v>
      </c>
      <c r="F67" s="3" t="s">
        <v>66</v>
      </c>
      <c r="G67" s="5">
        <f t="shared" si="2"/>
        <v>2.1120000000000004E-4</v>
      </c>
      <c r="H67" s="5">
        <f t="shared" si="3"/>
        <v>2.6400000000000002E-4</v>
      </c>
      <c r="I67" s="5">
        <f t="shared" si="4"/>
        <v>3.168E-4</v>
      </c>
      <c r="J67" s="3"/>
      <c r="K67" s="3" t="s">
        <v>165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166</v>
      </c>
      <c r="B68" s="3" t="s">
        <v>180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si="2"/>
        <v>3.84</v>
      </c>
      <c r="H68" s="5">
        <f t="shared" si="3"/>
        <v>4.8</v>
      </c>
      <c r="I68" s="5">
        <f t="shared" si="4"/>
        <v>5.76</v>
      </c>
      <c r="J68" s="3"/>
      <c r="K68" s="3" t="s">
        <v>167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168</v>
      </c>
      <c r="B69" s="3" t="s">
        <v>180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169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170</v>
      </c>
      <c r="B70" s="3" t="s">
        <v>181</v>
      </c>
      <c r="C70" s="3" t="s">
        <v>21</v>
      </c>
      <c r="D70" s="3" t="s">
        <v>65</v>
      </c>
      <c r="E70" s="3">
        <v>2.82</v>
      </c>
      <c r="F70" s="3" t="s">
        <v>66</v>
      </c>
      <c r="G70" s="5">
        <f t="shared" si="2"/>
        <v>2.2559999999999998</v>
      </c>
      <c r="H70" s="5">
        <f t="shared" si="3"/>
        <v>2.82</v>
      </c>
      <c r="I70" s="5">
        <f t="shared" si="4"/>
        <v>3.3839999999999999</v>
      </c>
      <c r="J70" s="3"/>
      <c r="K70" s="3" t="s">
        <v>171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172</v>
      </c>
      <c r="B71" s="3" t="s">
        <v>181</v>
      </c>
      <c r="C71" s="3" t="s">
        <v>21</v>
      </c>
      <c r="D71" s="3" t="s">
        <v>65</v>
      </c>
      <c r="E71" s="3">
        <v>1.2500000000000001E-2</v>
      </c>
      <c r="F71" s="3" t="s">
        <v>66</v>
      </c>
      <c r="G71" s="5">
        <f t="shared" si="2"/>
        <v>1.0000000000000002E-2</v>
      </c>
      <c r="H71" s="5">
        <f t="shared" si="3"/>
        <v>1.2500000000000001E-2</v>
      </c>
      <c r="I71" s="5">
        <f t="shared" si="4"/>
        <v>1.4999999999999999E-2</v>
      </c>
      <c r="J71" s="3"/>
      <c r="K71" s="3" t="s">
        <v>173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174</v>
      </c>
      <c r="B72" s="3" t="s">
        <v>181</v>
      </c>
      <c r="C72" s="3" t="s">
        <v>21</v>
      </c>
      <c r="D72" s="3" t="s">
        <v>67</v>
      </c>
      <c r="E72" s="3">
        <v>3.4000000000000002E-2</v>
      </c>
      <c r="F72" s="3" t="s">
        <v>66</v>
      </c>
      <c r="G72" s="5">
        <f t="shared" si="2"/>
        <v>2.7200000000000002E-2</v>
      </c>
      <c r="H72" s="5">
        <f t="shared" si="3"/>
        <v>3.4000000000000002E-2</v>
      </c>
      <c r="I72" s="5">
        <f t="shared" si="4"/>
        <v>4.0800000000000003E-2</v>
      </c>
      <c r="J72" s="3"/>
      <c r="K72" s="3" t="s">
        <v>175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176</v>
      </c>
      <c r="B73" s="3" t="s">
        <v>181</v>
      </c>
      <c r="C73" s="3" t="s">
        <v>21</v>
      </c>
      <c r="D73" s="3" t="s">
        <v>67</v>
      </c>
      <c r="E73" s="3">
        <v>5.7000000000000002E-2</v>
      </c>
      <c r="F73" s="3" t="s">
        <v>66</v>
      </c>
      <c r="G73" s="5">
        <f t="shared" si="2"/>
        <v>4.5600000000000002E-2</v>
      </c>
      <c r="H73" s="5">
        <f t="shared" si="3"/>
        <v>5.7000000000000002E-2</v>
      </c>
      <c r="I73" s="5">
        <f t="shared" si="4"/>
        <v>6.8400000000000002E-2</v>
      </c>
      <c r="J73" s="3"/>
      <c r="K73" s="3" t="s">
        <v>177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2026-08-06T06:38:52Z</dcterms:modified>
</cp:coreProperties>
</file>