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11D9513E-CA76-42FF-9D18-36761009718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<sst xmlns="http://schemas.openxmlformats.org/spreadsheetml/2006/main" count="383" uniqueCount="166">
  <si>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</si>
  <si>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</si>
  <si>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</si>
  <si>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</si>
  <si>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</si>
  <si>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</si>
  <si>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</si>
  <si>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</si>
  <si>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</si>
  <si>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</si>
  <si>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</si>
  <si>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</si>
  <si>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</si>
  <si>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</si>
  <si>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</si>
  <si>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</si>
  <si>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</si>
  <si>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</si>
  <si>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</si>
  <si>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</si>
  <si>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</si>
  <si>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</si>
  <si>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</si>
  <si>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</si>
  <si>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</si>
  <si>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</si>
  <si>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</si>
  <si>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</si>
  <si>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</si>
  <si>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</si>
  <si>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</si>
  <si>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</si>
  <si>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</si>
  <si>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</si>
  <si>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</si>
  <si>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</si>
  <si>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</si>
  <si>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</si>
  <si>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</si>
  <si>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</si>
  <si>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</si>
  <si>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</si>
  <si>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</si>
  <si>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</si>
  <si>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</si>
  <si>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</si>
  <si>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</si>
  <si>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</si>
  <si>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</si>
  <si>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</si>
  <si>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</si>
  <si>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</si>
  <si>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</si>
  <si>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</si>
  <si>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</si>
  <si>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</si>
  <si>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V406.nsk_kinetic_model._te.k_2 = x</t>
  </si>
  <si>
    <t>V406.nsk_kinetic_model._te.k_1e = x</t>
  </si>
  <si>
    <t>V406.nsk_kinetic_model._te.k_1h = x</t>
  </si>
  <si>
    <t>V406.nsk_kinetic_model._te.k_1ie = x</t>
  </si>
  <si>
    <t>V406.nsk_kinetic_model._te.k_1ia = x</t>
  </si>
  <si>
    <t>V406.nsk_kinetic_model._te.k_1ii = x</t>
  </si>
  <si>
    <t>V406.nsk_kinetic_model._te.k_1l = x</t>
  </si>
  <si>
    <t>V406.nsk_kinetic_model._te.k_3 = x</t>
  </si>
  <si>
    <t>V406.nsk_kinetic_model._te.k_4 = x</t>
  </si>
  <si>
    <t>g_per_l_per_h</t>
  </si>
  <si>
    <t>triangular</t>
  </si>
  <si>
    <t>g_per_l</t>
  </si>
  <si>
    <t>V406.nsk_kinetic_model._te.k_4ie = x</t>
  </si>
  <si>
    <t>V406.nsk_kinetic_model._te.k_4ia = x</t>
  </si>
  <si>
    <t>V406.nsk_kinetic_model._te.k_4ii = x</t>
  </si>
  <si>
    <t>V406.nsk_kinetic_model._te.k_5 = x</t>
  </si>
  <si>
    <t>V406.nsk_kinetic_model._te.k_5e = x</t>
  </si>
  <si>
    <t>V406.nsk_kinetic_model._te.k_6 = x</t>
  </si>
  <si>
    <t>V406.nsk_kinetic_model._te.k_6r = x</t>
  </si>
  <si>
    <t>V406.nsk_kinetic_model._te.k_7 = x</t>
  </si>
  <si>
    <t>V406.nsk_kinetic_model._te.k_7ie = x</t>
  </si>
  <si>
    <t>V406.nsk_kinetic_model._te.k_7ia = x</t>
  </si>
  <si>
    <t>V406.nsk_kinetic_model._te.k_7ii = x</t>
  </si>
  <si>
    <t>V406.nsk_kinetic_model._te.k_8 = x</t>
  </si>
  <si>
    <t>V406.nsk_kinetic_model._te.k_9 = x</t>
  </si>
  <si>
    <t>V406.nsk_kinetic_model._te.k_9e = x</t>
  </si>
  <si>
    <t>V406.nsk_kinetic_model._te.k_9c = x</t>
  </si>
  <si>
    <t>V406.nsk_kinetic_model._te.k_10 = x</t>
  </si>
  <si>
    <t>V406.nsk_kinetic_model._te.k_11 = x</t>
  </si>
  <si>
    <t>lime.price = x</t>
  </si>
  <si>
    <t>sulfuric_acid.price = x</t>
  </si>
  <si>
    <t>V406.nsk_kinetic_model._te.K_1l = x</t>
  </si>
  <si>
    <t>V406.nsk_kinetic_model._te.K_1h = x</t>
  </si>
  <si>
    <t>V406.nsk_kinetic_model._te.K_1i = x</t>
  </si>
  <si>
    <t>V406.nsk_kinetic_model._te.K_1e = x</t>
  </si>
  <si>
    <t>V406.nsk_kinetic_model._te.K_2 = x</t>
  </si>
  <si>
    <t>V406.nsk_kinetic_model._te.K_2i = x</t>
  </si>
  <si>
    <t>V406.nsk_kinetic_model._te.K_3 = x</t>
  </si>
  <si>
    <t>V406.nsk_kinetic_model._te.K_4 = x</t>
  </si>
  <si>
    <t>V406.nsk_kinetic_model._te.K_5 = x</t>
  </si>
  <si>
    <t>V406.nsk_kinetic_model._te.K_5e = x</t>
  </si>
  <si>
    <t>V406.nsk_kinetic_model._te.K_5i = x</t>
  </si>
  <si>
    <t>V406.nsk_kinetic_model._te.K_6 = x</t>
  </si>
  <si>
    <t>V406.nsk_kinetic_model._te.K_6e = x</t>
  </si>
  <si>
    <t>V406.nsk_kinetic_model._te.K_7 = x</t>
  </si>
  <si>
    <t>V406.nsk_kinetic_model._te.K_9 = x</t>
  </si>
  <si>
    <t>V406.nsk_kinetic_model._te.K_9e = x</t>
  </si>
  <si>
    <t>V406.nsk_kinetic_model._te.K_9i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</si>
  <si>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</si>
  <si>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</si>
  <si>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</si>
  <si>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</si>
  <si>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</si>
  <si>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</si>
  <si>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</si>
  <si>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</si>
  <si>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</si>
  <si>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</si>
  <si>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</si>
  <si>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</si>
  <si>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</si>
  <si>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</si>
  <si>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</si>
  <si>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</si>
  <si>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</si>
  <si>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</si>
  <si>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</si>
  <si>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</si>
  <si>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</si>
  <si>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</si>
  <si>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</si>
  <si>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</si>
  <si>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</si>
  <si>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</si>
  <si>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</si>
  <si>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</si>
  <si>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</si>
  <si>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</si>
  <si>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</si>
  <si>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</si>
  <si>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</si>
  <si>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</si>
  <si>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</si>
  <si>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</si>
  <si>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</si>
  <si>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</si>
  <si>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</si>
  <si>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</si>
  <si>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</si>
  <si>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</si>
  <si>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</si>
  <si>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</si>
  <si>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</si>
  <si>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</si>
  <si>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</si>
  <si>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</si>
  <si>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</si>
  <si>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</si>
  <si>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</si>
  <si>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</si>
  <si>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</si>
  <si>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</si>
  <si>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DDGS.price =x</t>
  </si>
  <si>
    <t>Feedstock starch content</t>
  </si>
  <si>
    <t>Aeration rate safety factor</t>
  </si>
  <si>
    <t>Fermentation</t>
  </si>
  <si>
    <t>V406.aeration_safety_factor = x</t>
  </si>
  <si>
    <t>DDGS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</si>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</sst>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zoomScale="70" zoomScaleNormal="70" workbookViewId="0">
      <selection activeCell="H13" sqref="H13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163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158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85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18</v>
      </c>
      <c r="G13" s="6">
        <f>E13*0.8</f>
        <v>8.2840000000000011E-2</v>
      </c>
      <c r="H13" s="6"/>
      <c r="I13" s="6">
        <f>E13*1.2</f>
        <v>0.12426</v>
      </c>
      <c r="J13" s="6"/>
      <c r="K13" s="6" t="s">
        <v>86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159</v>
      </c>
      <c r="B15" s="3" t="s">
        <v>39</v>
      </c>
      <c r="C15" s="3" t="s">
        <v>21</v>
      </c>
      <c r="D15" s="3" t="s">
        <v>164</v>
      </c>
      <c r="E15" s="3">
        <v>0.72</v>
      </c>
      <c r="F15" s="3" t="s">
        <v>27</v>
      </c>
      <c r="G15" s="3">
        <f>0.8*H15</f>
        <v>0.57599999999999996</v>
      </c>
      <c r="H15" s="3">
        <f>E15</f>
        <v>0.72</v>
      </c>
      <c r="I15" s="3">
        <f>1.2*H15</f>
        <v>0.86399999999999999</v>
      </c>
      <c r="J15" s="3"/>
      <c r="K15" s="3" t="s">
        <v>165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160</v>
      </c>
      <c r="B17" s="3" t="s">
        <v>161</v>
      </c>
      <c r="C17" s="3" t="s">
        <v>21</v>
      </c>
      <c r="D17" s="3" t="s">
        <v>12</v>
      </c>
      <c r="E17" s="3">
        <v>2</v>
      </c>
      <c r="F17" s="3" t="s">
        <v>18</v>
      </c>
      <c r="G17" s="3">
        <v>1</v>
      </c>
      <c r="H17" s="3"/>
      <c r="I17" s="3">
        <v>3</v>
      </c>
      <c r="J17" s="3"/>
      <c r="K17" s="3" t="s">
        <v>162</v>
      </c>
    </row>
    <row r="18" spans="1:11" x14ac:dyDescent="0.35">
      <c r="A18" s="3" t="s">
        <v>52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54</v>
      </c>
    </row>
    <row r="19" spans="1:11" x14ac:dyDescent="0.35">
      <c r="A19" s="3" t="s">
        <v>53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55</v>
      </c>
    </row>
    <row r="20" spans="1:11" x14ac:dyDescent="0.35">
      <c r="A20" s="3" t="s">
        <v>121</v>
      </c>
      <c r="B20" s="3" t="s">
        <v>147</v>
      </c>
      <c r="C20" s="3" t="s">
        <v>21</v>
      </c>
      <c r="D20" s="3" t="s">
        <v>65</v>
      </c>
      <c r="E20" s="3">
        <v>1.43</v>
      </c>
      <c r="F20" s="3" t="s">
        <v>66</v>
      </c>
      <c r="G20" s="3">
        <v>1.1439999999999999</v>
      </c>
      <c r="H20" s="3">
        <v>1.43</v>
      </c>
      <c r="I20" s="3">
        <v>1.716</v>
      </c>
      <c r="J20" s="3"/>
      <c r="K20" s="3" t="s">
        <v>62</v>
      </c>
    </row>
    <row r="21" spans="1:11" x14ac:dyDescent="0.35">
      <c r="A21" s="3" t="s">
        <v>104</v>
      </c>
      <c r="B21" s="3" t="s">
        <v>147</v>
      </c>
      <c r="C21" s="3" t="s">
        <v>21</v>
      </c>
      <c r="D21" s="3" t="s">
        <v>67</v>
      </c>
      <c r="E21" s="3">
        <v>0.94</v>
      </c>
      <c r="F21" s="3" t="s">
        <v>66</v>
      </c>
      <c r="G21" s="3">
        <v>0.752</v>
      </c>
      <c r="H21" s="3">
        <v>0.94</v>
      </c>
      <c r="I21" s="3">
        <v>1.1279999999999999</v>
      </c>
      <c r="J21" s="3"/>
      <c r="K21" s="3" t="s">
        <v>87</v>
      </c>
    </row>
    <row r="22" spans="1:11" x14ac:dyDescent="0.35">
      <c r="A22" s="3" t="s">
        <v>122</v>
      </c>
      <c r="B22" s="3" t="s">
        <v>147</v>
      </c>
      <c r="C22" s="3" t="s">
        <v>21</v>
      </c>
      <c r="D22" s="3" t="s">
        <v>65</v>
      </c>
      <c r="E22" s="3">
        <v>0.58399999999999996</v>
      </c>
      <c r="F22" s="3" t="s">
        <v>66</v>
      </c>
      <c r="G22" s="3">
        <v>0.4672</v>
      </c>
      <c r="H22" s="3">
        <v>0.58399999999999996</v>
      </c>
      <c r="I22" s="3">
        <v>0.70079999999999998</v>
      </c>
      <c r="J22" s="3"/>
      <c r="K22" s="3" t="s">
        <v>58</v>
      </c>
    </row>
    <row r="23" spans="1:11" x14ac:dyDescent="0.35">
      <c r="A23" s="3" t="s">
        <v>105</v>
      </c>
      <c r="B23" s="3" t="s">
        <v>147</v>
      </c>
      <c r="C23" s="3" t="s">
        <v>21</v>
      </c>
      <c r="D23" s="3" t="s">
        <v>67</v>
      </c>
      <c r="E23" s="3">
        <v>1.1599999999999999E-2</v>
      </c>
      <c r="F23" s="3" t="s">
        <v>66</v>
      </c>
      <c r="G23" s="3">
        <v>9.2800000000000001E-3</v>
      </c>
      <c r="H23" s="3">
        <v>1.1599999999999999E-2</v>
      </c>
      <c r="I23" s="3">
        <v>1.3919999999999899E-2</v>
      </c>
      <c r="J23" s="3"/>
      <c r="K23" s="3" t="s">
        <v>88</v>
      </c>
    </row>
    <row r="24" spans="1:11" x14ac:dyDescent="0.35">
      <c r="A24" s="3" t="s">
        <v>123</v>
      </c>
      <c r="B24" s="3" t="s">
        <v>147</v>
      </c>
      <c r="C24" s="3" t="s">
        <v>21</v>
      </c>
      <c r="D24" s="3" t="s">
        <v>65</v>
      </c>
      <c r="E24" s="3">
        <v>47.1</v>
      </c>
      <c r="F24" s="3" t="s">
        <v>66</v>
      </c>
      <c r="G24" s="3">
        <v>37.68</v>
      </c>
      <c r="H24" s="3">
        <v>47.1</v>
      </c>
      <c r="I24" s="3">
        <v>56.52</v>
      </c>
      <c r="J24" s="3"/>
      <c r="K24" s="3" t="s">
        <v>57</v>
      </c>
    </row>
    <row r="25" spans="1:11" x14ac:dyDescent="0.35">
      <c r="A25" s="3" t="s">
        <v>106</v>
      </c>
      <c r="B25" s="3" t="s">
        <v>147</v>
      </c>
      <c r="C25" s="3" t="s">
        <v>21</v>
      </c>
      <c r="D25" s="3" t="s">
        <v>67</v>
      </c>
      <c r="E25" s="3">
        <v>14.2</v>
      </c>
      <c r="F25" s="3" t="s">
        <v>66</v>
      </c>
      <c r="G25" s="3">
        <v>11.36</v>
      </c>
      <c r="H25" s="3">
        <v>14.2</v>
      </c>
      <c r="I25" s="3">
        <v>17.04</v>
      </c>
      <c r="J25" s="3"/>
      <c r="K25" s="3" t="s">
        <v>89</v>
      </c>
    </row>
    <row r="26" spans="1:11" x14ac:dyDescent="0.35">
      <c r="A26" s="3" t="s">
        <v>107</v>
      </c>
      <c r="B26" s="3" t="s">
        <v>147</v>
      </c>
      <c r="C26" s="3" t="s">
        <v>21</v>
      </c>
      <c r="D26" s="3" t="s">
        <v>67</v>
      </c>
      <c r="E26" s="3">
        <v>0.12</v>
      </c>
      <c r="F26" s="3" t="s">
        <v>66</v>
      </c>
      <c r="G26" s="3">
        <v>9.6000000000000002E-2</v>
      </c>
      <c r="H26" s="3">
        <v>0.12</v>
      </c>
      <c r="I26" s="3">
        <v>0.14399999999999999</v>
      </c>
      <c r="J26" s="3"/>
      <c r="K26" s="3" t="s">
        <v>90</v>
      </c>
    </row>
    <row r="27" spans="1:11" x14ac:dyDescent="0.35">
      <c r="A27" s="3" t="s">
        <v>124</v>
      </c>
      <c r="B27" s="3" t="s">
        <v>147</v>
      </c>
      <c r="C27" s="3" t="s">
        <v>21</v>
      </c>
      <c r="D27" s="3" t="s">
        <v>65</v>
      </c>
      <c r="E27" s="3">
        <v>0.04</v>
      </c>
      <c r="F27" s="3" t="s">
        <v>66</v>
      </c>
      <c r="G27" s="3">
        <v>3.2000000000000001E-2</v>
      </c>
      <c r="H27" s="3">
        <v>0.04</v>
      </c>
      <c r="I27" s="3">
        <v>4.8000000000000001E-2</v>
      </c>
      <c r="J27" s="3"/>
      <c r="K27" s="3" t="s">
        <v>59</v>
      </c>
    </row>
    <row r="28" spans="1:11" x14ac:dyDescent="0.35">
      <c r="A28" s="3" t="s">
        <v>125</v>
      </c>
      <c r="B28" s="3" t="s">
        <v>147</v>
      </c>
      <c r="C28" s="3" t="s">
        <v>21</v>
      </c>
      <c r="D28" s="3" t="s">
        <v>65</v>
      </c>
      <c r="E28" s="3">
        <v>0.12</v>
      </c>
      <c r="F28" s="3" t="s">
        <v>66</v>
      </c>
      <c r="G28" s="3">
        <v>9.6000000000000002E-2</v>
      </c>
      <c r="H28" s="3">
        <v>0.12</v>
      </c>
      <c r="I28" s="3">
        <v>0.14399999999999999</v>
      </c>
      <c r="J28" s="3"/>
      <c r="K28" s="3" t="s">
        <v>60</v>
      </c>
    </row>
    <row r="29" spans="1:11" x14ac:dyDescent="0.35">
      <c r="A29" s="3" t="s">
        <v>126</v>
      </c>
      <c r="B29" s="3" t="s">
        <v>147</v>
      </c>
      <c r="C29" s="3" t="s">
        <v>21</v>
      </c>
      <c r="D29" s="3" t="s">
        <v>65</v>
      </c>
      <c r="E29" s="3">
        <v>0.04</v>
      </c>
      <c r="F29" s="3" t="s">
        <v>66</v>
      </c>
      <c r="G29" s="3">
        <v>3.2000000000000001E-2</v>
      </c>
      <c r="H29" s="3">
        <v>0.04</v>
      </c>
      <c r="I29" s="3">
        <v>4.8000000000000001E-2</v>
      </c>
      <c r="J29" s="3"/>
      <c r="K29" s="3" t="s">
        <v>61</v>
      </c>
    </row>
    <row r="30" spans="1:11" x14ac:dyDescent="0.35">
      <c r="A30" s="3" t="s">
        <v>127</v>
      </c>
      <c r="B30" s="3" t="s">
        <v>148</v>
      </c>
      <c r="C30" s="3" t="s">
        <v>21</v>
      </c>
      <c r="D30" s="3" t="s">
        <v>65</v>
      </c>
      <c r="E30" s="3">
        <v>0.501</v>
      </c>
      <c r="F30" s="3" t="s">
        <v>66</v>
      </c>
      <c r="G30" s="3">
        <v>0.40079999999999999</v>
      </c>
      <c r="H30" s="3">
        <v>0.501</v>
      </c>
      <c r="I30" s="3">
        <v>0.60119999999999996</v>
      </c>
      <c r="J30" s="3"/>
      <c r="K30" s="3" t="s">
        <v>56</v>
      </c>
    </row>
    <row r="31" spans="1:11" x14ac:dyDescent="0.35">
      <c r="A31" s="3" t="s">
        <v>108</v>
      </c>
      <c r="B31" s="3" t="s">
        <v>148</v>
      </c>
      <c r="C31" s="3" t="s">
        <v>21</v>
      </c>
      <c r="D31" s="3" t="s">
        <v>67</v>
      </c>
      <c r="E31" s="5">
        <v>2.0000000000000002E-5</v>
      </c>
      <c r="F31" s="3" t="s">
        <v>66</v>
      </c>
      <c r="G31" s="5">
        <v>1.5999999999999999E-5</v>
      </c>
      <c r="H31" s="5">
        <v>2.0000000000000002E-5</v>
      </c>
      <c r="I31" s="5">
        <v>2.4000000000000001E-5</v>
      </c>
      <c r="J31" s="3"/>
      <c r="K31" s="3" t="s">
        <v>91</v>
      </c>
    </row>
    <row r="32" spans="1:11" x14ac:dyDescent="0.35">
      <c r="A32" s="3" t="s">
        <v>109</v>
      </c>
      <c r="B32" s="3" t="s">
        <v>148</v>
      </c>
      <c r="C32" s="3" t="s">
        <v>21</v>
      </c>
      <c r="D32" s="3" t="s">
        <v>67</v>
      </c>
      <c r="E32" s="3">
        <v>0.10100000000000001</v>
      </c>
      <c r="F32" s="3" t="s">
        <v>66</v>
      </c>
      <c r="G32" s="3">
        <v>8.0799999999999997E-2</v>
      </c>
      <c r="H32" s="3">
        <v>0.10100000000000001</v>
      </c>
      <c r="I32" s="3">
        <v>0.1212</v>
      </c>
      <c r="J32" s="3"/>
      <c r="K32" s="3" t="s">
        <v>92</v>
      </c>
    </row>
    <row r="33" spans="1:11" x14ac:dyDescent="0.35">
      <c r="A33" s="3" t="s">
        <v>128</v>
      </c>
      <c r="B33" s="3" t="s">
        <v>149</v>
      </c>
      <c r="C33" s="3" t="s">
        <v>21</v>
      </c>
      <c r="D33" s="3" t="s">
        <v>65</v>
      </c>
      <c r="E33" s="3">
        <v>5.81</v>
      </c>
      <c r="F33" s="3" t="s">
        <v>66</v>
      </c>
      <c r="G33" s="3">
        <v>4.6479999999999997</v>
      </c>
      <c r="H33" s="3">
        <v>5.81</v>
      </c>
      <c r="I33" s="3">
        <v>6.9719999999999898</v>
      </c>
      <c r="J33" s="3"/>
      <c r="K33" s="3" t="s">
        <v>63</v>
      </c>
    </row>
    <row r="34" spans="1:11" x14ac:dyDescent="0.35">
      <c r="A34" s="3" t="s">
        <v>110</v>
      </c>
      <c r="B34" s="3" t="s">
        <v>149</v>
      </c>
      <c r="C34" s="3" t="s">
        <v>21</v>
      </c>
      <c r="D34" s="3" t="s">
        <v>67</v>
      </c>
      <c r="E34" s="5">
        <v>4.9999999999999998E-7</v>
      </c>
      <c r="F34" s="3" t="s">
        <v>66</v>
      </c>
      <c r="G34" s="5">
        <v>3.9999999999999998E-7</v>
      </c>
      <c r="H34" s="5">
        <v>4.9999999999999998E-7</v>
      </c>
      <c r="I34" s="5">
        <v>5.9999999999999997E-7</v>
      </c>
      <c r="J34" s="3"/>
      <c r="K34" s="3" t="s">
        <v>93</v>
      </c>
    </row>
    <row r="35" spans="1:11" x14ac:dyDescent="0.35">
      <c r="A35" s="3" t="s">
        <v>129</v>
      </c>
      <c r="B35" s="3" t="s">
        <v>150</v>
      </c>
      <c r="C35" s="3" t="s">
        <v>21</v>
      </c>
      <c r="D35" s="3" t="s">
        <v>65</v>
      </c>
      <c r="E35" s="3">
        <v>4.8</v>
      </c>
      <c r="F35" s="3" t="s">
        <v>66</v>
      </c>
      <c r="G35" s="3">
        <v>3.84</v>
      </c>
      <c r="H35" s="3">
        <v>4.8</v>
      </c>
      <c r="I35" s="3">
        <v>5.76</v>
      </c>
      <c r="J35" s="3"/>
      <c r="K35" s="3" t="s">
        <v>64</v>
      </c>
    </row>
    <row r="36" spans="1:11" x14ac:dyDescent="0.35">
      <c r="A36" s="3" t="s">
        <v>130</v>
      </c>
      <c r="B36" s="3" t="s">
        <v>150</v>
      </c>
      <c r="C36" s="3" t="s">
        <v>21</v>
      </c>
      <c r="D36" s="3" t="s">
        <v>65</v>
      </c>
      <c r="E36" s="3">
        <v>0.04</v>
      </c>
      <c r="F36" s="3" t="s">
        <v>66</v>
      </c>
      <c r="G36" s="3">
        <v>3.2000000000000001E-2</v>
      </c>
      <c r="H36" s="3">
        <v>0.04</v>
      </c>
      <c r="I36" s="3">
        <v>4.8000000000000001E-2</v>
      </c>
      <c r="J36" s="3"/>
      <c r="K36" s="3" t="s">
        <v>68</v>
      </c>
    </row>
    <row r="37" spans="1:11" x14ac:dyDescent="0.35">
      <c r="A37" s="3" t="s">
        <v>131</v>
      </c>
      <c r="B37" s="3" t="s">
        <v>150</v>
      </c>
      <c r="C37" s="3" t="s">
        <v>21</v>
      </c>
      <c r="D37" s="3" t="s">
        <v>65</v>
      </c>
      <c r="E37" s="3">
        <v>0.12</v>
      </c>
      <c r="F37" s="3" t="s">
        <v>66</v>
      </c>
      <c r="G37" s="3">
        <v>9.6000000000000002E-2</v>
      </c>
      <c r="H37" s="3">
        <v>0.12</v>
      </c>
      <c r="I37" s="3">
        <v>0.14399999999999999</v>
      </c>
      <c r="J37" s="3"/>
      <c r="K37" s="3" t="s">
        <v>69</v>
      </c>
    </row>
    <row r="38" spans="1:11" x14ac:dyDescent="0.35">
      <c r="A38" s="3" t="s">
        <v>132</v>
      </c>
      <c r="B38" s="3" t="s">
        <v>150</v>
      </c>
      <c r="C38" s="3" t="s">
        <v>21</v>
      </c>
      <c r="D38" s="3" t="s">
        <v>65</v>
      </c>
      <c r="E38" s="3">
        <v>0.04</v>
      </c>
      <c r="F38" s="3" t="s">
        <v>66</v>
      </c>
      <c r="G38" s="3">
        <v>3.2000000000000001E-2</v>
      </c>
      <c r="H38" s="3">
        <v>0.04</v>
      </c>
      <c r="I38" s="3">
        <v>4.8000000000000001E-2</v>
      </c>
      <c r="J38" s="3"/>
      <c r="K38" s="3" t="s">
        <v>70</v>
      </c>
    </row>
    <row r="39" spans="1:11" x14ac:dyDescent="0.35">
      <c r="A39" s="3" t="s">
        <v>111</v>
      </c>
      <c r="B39" s="3" t="s">
        <v>150</v>
      </c>
      <c r="C39" s="3" t="s">
        <v>21</v>
      </c>
      <c r="D39" s="3" t="s">
        <v>67</v>
      </c>
      <c r="E39" s="3">
        <v>2.6400000000000002E-4</v>
      </c>
      <c r="F39" s="3" t="s">
        <v>66</v>
      </c>
      <c r="G39" s="3">
        <v>2.1120000000000001E-4</v>
      </c>
      <c r="H39" s="3">
        <v>2.6400000000000002E-4</v>
      </c>
      <c r="I39" s="3">
        <v>3.168E-4</v>
      </c>
      <c r="J39" s="3"/>
      <c r="K39" s="3" t="s">
        <v>94</v>
      </c>
    </row>
    <row r="40" spans="1:11" x14ac:dyDescent="0.35">
      <c r="A40" s="3" t="s">
        <v>133</v>
      </c>
      <c r="B40" s="3" t="s">
        <v>155</v>
      </c>
      <c r="C40" s="3" t="s">
        <v>21</v>
      </c>
      <c r="D40" s="3" t="s">
        <v>65</v>
      </c>
      <c r="E40" s="3">
        <v>1.04E-2</v>
      </c>
      <c r="F40" s="3" t="s">
        <v>66</v>
      </c>
      <c r="G40" s="3">
        <v>8.3199999999999993E-3</v>
      </c>
      <c r="H40" s="3">
        <v>1.04E-2</v>
      </c>
      <c r="I40" s="3">
        <v>1.248E-2</v>
      </c>
      <c r="J40" s="3"/>
      <c r="K40" s="3" t="s">
        <v>71</v>
      </c>
    </row>
    <row r="41" spans="1:11" x14ac:dyDescent="0.35">
      <c r="A41" s="3" t="s">
        <v>112</v>
      </c>
      <c r="B41" s="3" t="s">
        <v>155</v>
      </c>
      <c r="C41" s="3" t="s">
        <v>21</v>
      </c>
      <c r="D41" s="3" t="s">
        <v>67</v>
      </c>
      <c r="E41" s="3">
        <v>1.0200000000000001E-2</v>
      </c>
      <c r="F41" s="3" t="s">
        <v>66</v>
      </c>
      <c r="G41" s="3">
        <v>8.1600000000000006E-3</v>
      </c>
      <c r="H41" s="3">
        <v>1.0200000000000001E-2</v>
      </c>
      <c r="I41" s="3">
        <v>1.2239999999999999E-2</v>
      </c>
      <c r="J41" s="3"/>
      <c r="K41" s="3" t="s">
        <v>95</v>
      </c>
    </row>
    <row r="42" spans="1:11" x14ac:dyDescent="0.35">
      <c r="A42" s="3" t="s">
        <v>134</v>
      </c>
      <c r="B42" s="3" t="s">
        <v>155</v>
      </c>
      <c r="C42" s="3" t="s">
        <v>21</v>
      </c>
      <c r="D42" s="3" t="s">
        <v>65</v>
      </c>
      <c r="E42" s="3">
        <v>0.77500000000000002</v>
      </c>
      <c r="F42" s="3" t="s">
        <v>66</v>
      </c>
      <c r="G42" s="3">
        <v>0.62</v>
      </c>
      <c r="H42" s="3">
        <v>0.77500000000000002</v>
      </c>
      <c r="I42" s="3">
        <v>0.92999999999999905</v>
      </c>
      <c r="J42" s="3"/>
      <c r="K42" s="3" t="s">
        <v>72</v>
      </c>
    </row>
    <row r="43" spans="1:11" x14ac:dyDescent="0.35">
      <c r="A43" s="3" t="s">
        <v>113</v>
      </c>
      <c r="B43" s="3" t="s">
        <v>155</v>
      </c>
      <c r="C43" s="3" t="s">
        <v>21</v>
      </c>
      <c r="D43" s="3" t="s">
        <v>67</v>
      </c>
      <c r="E43" s="3">
        <v>0.1</v>
      </c>
      <c r="F43" s="3" t="s">
        <v>66</v>
      </c>
      <c r="G43" s="3">
        <v>0.08</v>
      </c>
      <c r="H43" s="3">
        <v>0.1</v>
      </c>
      <c r="I43" s="3">
        <v>0.12</v>
      </c>
      <c r="J43" s="3"/>
      <c r="K43" s="3" t="s">
        <v>96</v>
      </c>
    </row>
    <row r="44" spans="1:11" x14ac:dyDescent="0.35">
      <c r="A44" s="3" t="s">
        <v>114</v>
      </c>
      <c r="B44" s="3" t="s">
        <v>155</v>
      </c>
      <c r="C44" s="3" t="s">
        <v>21</v>
      </c>
      <c r="D44" s="3" t="s">
        <v>67</v>
      </c>
      <c r="E44" s="3">
        <v>440</v>
      </c>
      <c r="F44" s="3" t="s">
        <v>66</v>
      </c>
      <c r="G44" s="3">
        <v>352</v>
      </c>
      <c r="H44" s="3">
        <v>440</v>
      </c>
      <c r="I44" s="3">
        <v>528</v>
      </c>
      <c r="J44" s="3"/>
      <c r="K44" s="3" t="s">
        <v>97</v>
      </c>
    </row>
    <row r="45" spans="1:11" x14ac:dyDescent="0.35">
      <c r="A45" s="3" t="s">
        <v>135</v>
      </c>
      <c r="B45" s="3" t="s">
        <v>151</v>
      </c>
      <c r="C45" s="3" t="s">
        <v>21</v>
      </c>
      <c r="D45" s="3" t="s">
        <v>65</v>
      </c>
      <c r="E45" s="3">
        <v>2.82</v>
      </c>
      <c r="F45" s="3" t="s">
        <v>66</v>
      </c>
      <c r="G45" s="3">
        <v>2.2559999999999998</v>
      </c>
      <c r="H45" s="3">
        <v>2.82</v>
      </c>
      <c r="I45" s="3">
        <v>3.3839999999999999</v>
      </c>
      <c r="J45" s="3"/>
      <c r="K45" s="3" t="s">
        <v>73</v>
      </c>
    </row>
    <row r="46" spans="1:11" x14ac:dyDescent="0.35">
      <c r="A46" s="3" t="s">
        <v>136</v>
      </c>
      <c r="B46" s="3" t="s">
        <v>151</v>
      </c>
      <c r="C46" s="3" t="s">
        <v>21</v>
      </c>
      <c r="D46" s="3" t="s">
        <v>65</v>
      </c>
      <c r="E46" s="3">
        <v>1.2500000000000001E-2</v>
      </c>
      <c r="F46" s="3" t="s">
        <v>66</v>
      </c>
      <c r="G46" s="3">
        <v>0.01</v>
      </c>
      <c r="H46" s="3">
        <v>1.2500000000000001E-2</v>
      </c>
      <c r="I46" s="3">
        <v>1.4999999999999999E-2</v>
      </c>
      <c r="J46" s="3"/>
      <c r="K46" s="3" t="s">
        <v>74</v>
      </c>
    </row>
    <row r="47" spans="1:11" x14ac:dyDescent="0.35">
      <c r="A47" s="3" t="s">
        <v>115</v>
      </c>
      <c r="B47" s="3" t="s">
        <v>151</v>
      </c>
      <c r="C47" s="3" t="s">
        <v>21</v>
      </c>
      <c r="D47" s="3" t="s">
        <v>67</v>
      </c>
      <c r="E47" s="3">
        <v>3.4000000000000002E-2</v>
      </c>
      <c r="F47" s="3" t="s">
        <v>66</v>
      </c>
      <c r="G47" s="3">
        <v>2.7199999999999998E-2</v>
      </c>
      <c r="H47" s="3">
        <v>3.4000000000000002E-2</v>
      </c>
      <c r="I47" s="3">
        <v>4.0800000000000003E-2</v>
      </c>
      <c r="J47" s="3"/>
      <c r="K47" s="3" t="s">
        <v>98</v>
      </c>
    </row>
    <row r="48" spans="1:11" x14ac:dyDescent="0.35">
      <c r="A48" s="3" t="s">
        <v>116</v>
      </c>
      <c r="B48" s="3" t="s">
        <v>151</v>
      </c>
      <c r="C48" s="3" t="s">
        <v>21</v>
      </c>
      <c r="D48" s="3" t="s">
        <v>67</v>
      </c>
      <c r="E48" s="3">
        <v>5.7000000000000002E-2</v>
      </c>
      <c r="F48" s="3" t="s">
        <v>66</v>
      </c>
      <c r="G48" s="3">
        <v>4.5600000000000002E-2</v>
      </c>
      <c r="H48" s="3">
        <v>5.7000000000000002E-2</v>
      </c>
      <c r="I48" s="3">
        <v>6.8400000000000002E-2</v>
      </c>
      <c r="J48" s="3"/>
      <c r="K48" s="3" t="s">
        <v>99</v>
      </c>
    </row>
    <row r="49" spans="1:11" x14ac:dyDescent="0.35">
      <c r="A49" s="3" t="s">
        <v>137</v>
      </c>
      <c r="B49" s="3" t="s">
        <v>152</v>
      </c>
      <c r="C49" s="3" t="s">
        <v>21</v>
      </c>
      <c r="D49" s="3" t="s">
        <v>65</v>
      </c>
      <c r="E49" s="3">
        <v>1.2030000000000001</v>
      </c>
      <c r="F49" s="3" t="s">
        <v>66</v>
      </c>
      <c r="G49" s="3">
        <v>0.96240000000000003</v>
      </c>
      <c r="H49" s="3">
        <v>1.2030000000000001</v>
      </c>
      <c r="I49" s="3">
        <v>1.4436</v>
      </c>
      <c r="J49" s="3"/>
      <c r="K49" s="3" t="s">
        <v>75</v>
      </c>
    </row>
    <row r="50" spans="1:11" x14ac:dyDescent="0.35">
      <c r="A50" s="3" t="s">
        <v>138</v>
      </c>
      <c r="B50" s="3" t="s">
        <v>152</v>
      </c>
      <c r="C50" s="3" t="s">
        <v>21</v>
      </c>
      <c r="D50" s="3" t="s">
        <v>65</v>
      </c>
      <c r="E50" s="3">
        <v>0.04</v>
      </c>
      <c r="F50" s="3" t="s">
        <v>66</v>
      </c>
      <c r="G50" s="3">
        <v>3.2000000000000001E-2</v>
      </c>
      <c r="H50" s="3">
        <v>0.04</v>
      </c>
      <c r="I50" s="3">
        <v>4.8000000000000001E-2</v>
      </c>
      <c r="J50" s="3"/>
      <c r="K50" s="3" t="s">
        <v>76</v>
      </c>
    </row>
    <row r="51" spans="1:11" x14ac:dyDescent="0.35">
      <c r="A51" s="3" t="s">
        <v>139</v>
      </c>
      <c r="B51" s="3" t="s">
        <v>152</v>
      </c>
      <c r="C51" s="3" t="s">
        <v>21</v>
      </c>
      <c r="D51" s="3" t="s">
        <v>65</v>
      </c>
      <c r="E51" s="3">
        <v>0.12</v>
      </c>
      <c r="F51" s="3" t="s">
        <v>66</v>
      </c>
      <c r="G51" s="3">
        <v>9.6000000000000002E-2</v>
      </c>
      <c r="H51" s="3">
        <v>0.12</v>
      </c>
      <c r="I51" s="3">
        <v>0.14399999999999999</v>
      </c>
      <c r="J51" s="3"/>
      <c r="K51" s="3" t="s">
        <v>77</v>
      </c>
    </row>
    <row r="52" spans="1:11" x14ac:dyDescent="0.35">
      <c r="A52" s="3" t="s">
        <v>140</v>
      </c>
      <c r="B52" s="3" t="s">
        <v>152</v>
      </c>
      <c r="C52" s="3" t="s">
        <v>21</v>
      </c>
      <c r="D52" s="3" t="s">
        <v>65</v>
      </c>
      <c r="E52" s="3">
        <v>0.04</v>
      </c>
      <c r="F52" s="3" t="s">
        <v>66</v>
      </c>
      <c r="G52" s="3">
        <v>3.2000000000000001E-2</v>
      </c>
      <c r="H52" s="3">
        <v>0.04</v>
      </c>
      <c r="I52" s="3">
        <v>4.8000000000000001E-2</v>
      </c>
      <c r="J52" s="3"/>
      <c r="K52" s="3" t="s">
        <v>78</v>
      </c>
    </row>
    <row r="53" spans="1:11" x14ac:dyDescent="0.35">
      <c r="A53" s="3" t="s">
        <v>117</v>
      </c>
      <c r="B53" s="3" t="s">
        <v>152</v>
      </c>
      <c r="C53" s="3" t="s">
        <v>21</v>
      </c>
      <c r="D53" s="3" t="s">
        <v>67</v>
      </c>
      <c r="E53" s="3">
        <v>1.01E-2</v>
      </c>
      <c r="F53" s="3" t="s">
        <v>66</v>
      </c>
      <c r="G53" s="3">
        <v>8.0800000000000004E-3</v>
      </c>
      <c r="H53" s="3">
        <v>1.01E-2</v>
      </c>
      <c r="I53" s="3">
        <v>1.21199999999999E-2</v>
      </c>
      <c r="J53" s="3"/>
      <c r="K53" s="3" t="s">
        <v>100</v>
      </c>
    </row>
    <row r="54" spans="1:11" x14ac:dyDescent="0.35">
      <c r="A54" s="3" t="s">
        <v>141</v>
      </c>
      <c r="B54" s="3" t="s">
        <v>153</v>
      </c>
      <c r="C54" s="3" t="s">
        <v>21</v>
      </c>
      <c r="D54" s="3" t="s">
        <v>65</v>
      </c>
      <c r="E54" s="3">
        <v>0.58899999999999997</v>
      </c>
      <c r="F54" s="3" t="s">
        <v>66</v>
      </c>
      <c r="G54" s="3">
        <v>0.47120000000000001</v>
      </c>
      <c r="H54" s="3">
        <v>0.58899999999999997</v>
      </c>
      <c r="I54" s="3">
        <v>0.70679999999999998</v>
      </c>
      <c r="J54" s="3"/>
      <c r="K54" s="3" t="s">
        <v>79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65</v>
      </c>
      <c r="E55" s="3">
        <v>8.0000000000000002E-3</v>
      </c>
      <c r="F55" s="3" t="s">
        <v>66</v>
      </c>
      <c r="G55" s="3">
        <v>6.4000000000000003E-3</v>
      </c>
      <c r="H55" s="3">
        <v>8.0000000000000002E-3</v>
      </c>
      <c r="I55" s="3">
        <v>9.5999999999999992E-3</v>
      </c>
      <c r="J55" s="3"/>
      <c r="K55" s="3" t="s">
        <v>80</v>
      </c>
    </row>
    <row r="56" spans="1:11" x14ac:dyDescent="0.35">
      <c r="A56" s="3" t="s">
        <v>118</v>
      </c>
      <c r="B56" s="3" t="s">
        <v>154</v>
      </c>
      <c r="C56" s="3" t="s">
        <v>21</v>
      </c>
      <c r="D56" s="3" t="s">
        <v>67</v>
      </c>
      <c r="E56" s="5">
        <v>9.9999999999999995E-7</v>
      </c>
      <c r="F56" s="3" t="s">
        <v>66</v>
      </c>
      <c r="G56" s="5">
        <v>7.9999999999999996E-7</v>
      </c>
      <c r="H56" s="5">
        <v>9.9999999999999995E-7</v>
      </c>
      <c r="I56" s="5">
        <v>1.1999999999999999E-6</v>
      </c>
      <c r="J56" s="3"/>
      <c r="K56" s="3" t="s">
        <v>101</v>
      </c>
    </row>
    <row r="57" spans="1:11" x14ac:dyDescent="0.35">
      <c r="A57" s="3" t="s">
        <v>143</v>
      </c>
      <c r="B57" s="3" t="s">
        <v>154</v>
      </c>
      <c r="C57" s="3" t="s">
        <v>21</v>
      </c>
      <c r="D57" s="3" t="s">
        <v>65</v>
      </c>
      <c r="E57" s="3">
        <v>7.51E-2</v>
      </c>
      <c r="F57" s="3" t="s">
        <v>66</v>
      </c>
      <c r="G57" s="3">
        <v>6.0080000000000001E-2</v>
      </c>
      <c r="H57" s="3">
        <v>7.51E-2</v>
      </c>
      <c r="I57" s="3">
        <v>9.0119999999999895E-2</v>
      </c>
      <c r="J57" s="3"/>
      <c r="K57" s="3" t="s">
        <v>81</v>
      </c>
    </row>
    <row r="58" spans="1:11" x14ac:dyDescent="0.35">
      <c r="A58" s="3" t="s">
        <v>119</v>
      </c>
      <c r="B58" s="3" t="s">
        <v>154</v>
      </c>
      <c r="C58" s="3" t="s">
        <v>21</v>
      </c>
      <c r="D58" s="3" t="s">
        <v>67</v>
      </c>
      <c r="E58" s="3">
        <v>13</v>
      </c>
      <c r="F58" s="3" t="s">
        <v>66</v>
      </c>
      <c r="G58" s="3">
        <v>10.4</v>
      </c>
      <c r="H58" s="3">
        <v>13</v>
      </c>
      <c r="I58" s="3">
        <v>15.6</v>
      </c>
      <c r="J58" s="3"/>
      <c r="K58" s="3" t="s">
        <v>102</v>
      </c>
    </row>
    <row r="59" spans="1:11" x14ac:dyDescent="0.35">
      <c r="A59" s="3" t="s">
        <v>120</v>
      </c>
      <c r="B59" s="3" t="s">
        <v>154</v>
      </c>
      <c r="C59" s="3" t="s">
        <v>21</v>
      </c>
      <c r="D59" s="3" t="s">
        <v>67</v>
      </c>
      <c r="E59" s="3">
        <v>25</v>
      </c>
      <c r="F59" s="3" t="s">
        <v>66</v>
      </c>
      <c r="G59" s="3">
        <v>20</v>
      </c>
      <c r="H59" s="3">
        <v>25</v>
      </c>
      <c r="I59" s="3">
        <v>30</v>
      </c>
      <c r="J59" s="3"/>
      <c r="K59" s="3" t="s">
        <v>103</v>
      </c>
    </row>
    <row r="60" spans="1:11" x14ac:dyDescent="0.35">
      <c r="A60" s="3" t="s">
        <v>144</v>
      </c>
      <c r="B60" s="3" t="s">
        <v>154</v>
      </c>
      <c r="C60" s="3" t="s">
        <v>21</v>
      </c>
      <c r="D60" s="3" t="s">
        <v>65</v>
      </c>
      <c r="E60" s="3">
        <v>3.9899999999999996E-3</v>
      </c>
      <c r="F60" s="3" t="s">
        <v>66</v>
      </c>
      <c r="G60" s="3">
        <v>3.192E-3</v>
      </c>
      <c r="H60" s="3">
        <v>3.9899999999999996E-3</v>
      </c>
      <c r="I60" s="3">
        <v>4.7879999999999997E-3</v>
      </c>
      <c r="J60" s="3"/>
      <c r="K60" s="3" t="s">
        <v>82</v>
      </c>
    </row>
    <row r="61" spans="1:11" x14ac:dyDescent="0.35">
      <c r="A61" s="3" t="s">
        <v>145</v>
      </c>
      <c r="B61" s="3" t="s">
        <v>156</v>
      </c>
      <c r="C61" s="3" t="s">
        <v>21</v>
      </c>
      <c r="D61" s="3" t="s">
        <v>65</v>
      </c>
      <c r="E61" s="3">
        <v>0.06</v>
      </c>
      <c r="F61" s="3" t="s">
        <v>66</v>
      </c>
      <c r="G61" s="3">
        <v>4.8000000000000001E-2</v>
      </c>
      <c r="H61" s="3">
        <v>0.06</v>
      </c>
      <c r="I61" s="3">
        <v>7.1999999999999995E-2</v>
      </c>
      <c r="J61" s="3"/>
      <c r="K61" s="3" t="s">
        <v>83</v>
      </c>
    </row>
    <row r="62" spans="1:11" x14ac:dyDescent="0.35">
      <c r="A62" s="3" t="s">
        <v>146</v>
      </c>
      <c r="B62" s="3" t="s">
        <v>157</v>
      </c>
      <c r="C62" s="3" t="s">
        <v>21</v>
      </c>
      <c r="D62" s="3" t="s">
        <v>65</v>
      </c>
      <c r="E62" s="3">
        <v>0.02</v>
      </c>
      <c r="F62" s="3" t="s">
        <v>66</v>
      </c>
      <c r="G62" s="3">
        <v>1.6E-2</v>
      </c>
      <c r="H62" s="3">
        <v>0.02</v>
      </c>
      <c r="I62" s="3">
        <v>2.4E-2</v>
      </c>
      <c r="J62" s="3"/>
      <c r="K62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2026-08-06T06:38:48Z</dcterms:modified>
</cp:coreProperties>
</file>