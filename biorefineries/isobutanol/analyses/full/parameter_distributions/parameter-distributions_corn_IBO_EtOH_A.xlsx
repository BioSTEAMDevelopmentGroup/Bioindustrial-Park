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6D65BB55-3593-4ECE-8D2D-1A6E07AF64E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H12" i="1"/>
  <c r="G12" i="1"/>
  <c r="H18" i="1"/>
  <c r="I18" i="1" s="1"/>
  <c r="G13" i="1"/>
  <c r="I13" i="1"/>
  <c r="G11" i="1"/>
  <c r="I11" i="1"/>
  <c r="H19" i="1"/>
  <c r="G19" i="1" s="1"/>
  <c r="I17" i="1"/>
  <c r="G17" i="1"/>
  <c r="I22" i="1"/>
  <c r="H22" i="1"/>
  <c r="G22" i="1"/>
  <c r="H4" i="1"/>
  <c r="H5" i="1"/>
  <c r="H15" i="1"/>
  <c r="H21" i="1"/>
  <c r="I21" i="1"/>
  <c r="G21" i="1"/>
  <c r="I10" i="1"/>
  <c r="G10" i="1"/>
  <c r="I8" i="1"/>
  <c r="G8" i="1"/>
  <c r="I9" i="1"/>
  <c r="G9" i="1"/>
  <c r="I7" i="1"/>
  <c r="G7" i="1"/>
  <c r="G18" i="1" l="1"/>
  <c r="I19" i="1"/>
  <c r="I3" i="1" l="1"/>
  <c r="H3" i="1"/>
  <c r="G3" i="1"/>
  <c r="I15" i="1" l="1"/>
  <c r="G15" i="1"/>
  <c r="I6" i="1" l="1"/>
  <c r="G6" i="1"/>
</calcChain>
</file>

<file path=xl/sharedStrings.xml><?xml version="1.0" encoding="utf-8"?>
<sst xmlns="http://schemas.openxmlformats.org/spreadsheetml/2006/main" count="395" uniqueCount="170">
  <si>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</si>
  <si>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</si>
  <si>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</si>
  <si>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</si>
  <si>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</si>
  <si>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</si>
  <si>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</si>
  <si>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</si>
  <si>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</si>
  <si>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</si>
  <si>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</si>
  <si>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</si>
  <si>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</si>
  <si>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</si>
  <si>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</si>
  <si>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</si>
  <si>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</si>
  <si>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</si>
  <si>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</si>
  <si>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</si>
  <si>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</si>
  <si>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</si>
  <si>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</si>
  <si>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</si>
  <si>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</si>
  <si>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</si>
  <si>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</si>
  <si>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</si>
  <si>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</si>
  <si>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</si>
  <si>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</si>
  <si>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</si>
  <si>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</si>
  <si>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</si>
  <si>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</si>
  <si>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</si>
  <si>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</si>
  <si>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</si>
  <si>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</si>
  <si>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</si>
  <si>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</si>
  <si>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</si>
  <si>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</si>
  <si>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</si>
  <si>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</si>
  <si>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</si>
  <si>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</si>
  <si>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</si>
  <si>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</si>
  <si>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</si>
  <si>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</si>
  <si>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</si>
  <si>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</si>
  <si>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</si>
  <si>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</si>
  <si>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</si>
  <si>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</si>
  <si>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</si>
  <si>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</si>
  <si>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</si>
  <si>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</si>
  <si>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</si>
  <si>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</si>
  <si>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</si>
  <si>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</si>
  <si>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</si>
  <si>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</si>
  <si>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</si>
  <si>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</si>
  <si>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</si>
  <si>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</si>
  <si>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</si>
  <si>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</si>
  <si>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</si>
  <si>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</si>
  <si>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</si>
  <si>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</si>
  <si>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</si>
  <si>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</si>
  <si>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</si>
  <si>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</si>
  <si>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</si>
  <si>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</si>
  <si>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</si>
  <si>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</si>
  <si>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</si>
  <si>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</si>
  <si>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</si>
  <si>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</si>
  <si>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</si>
  <si>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</si>
  <si>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</si>
  <si>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</si>
  <si>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</si>
  <si>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</si>
  <si>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</si>
  <si>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</si>
  <si>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</si>
  <si>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</si>
  <si>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</si>
  <si>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</si>
  <si>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</si>
  <si>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</si>
  <si>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</si>
  <si>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</si>
  <si>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</si>
  <si>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</si>
  <si>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</si>
  <si>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</si>
  <si>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</si>
  <si>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</si>
  <si>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</si>
  <si>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</si>
  <si>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</si>
  <si>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</si>
  <si>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</si>
  <si>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</si>
  <si>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</si>
  <si>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</si>
  <si>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</si>
  <si>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</si>
  <si>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</si>
  <si>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</si>
  <si>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</si>
  <si>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</si>
  <si>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</si>
  <si>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</si>
  <si>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</si>
  <si>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</si>
  <si>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</si>
  <si>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</si>
  <si>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</si>
  <si>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</si>
  <si>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</si>
  <si>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</si>
  <si>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</si>
  <si>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</si>
  <si>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</si>
  <si>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</si>
  <si>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</si>
  <si>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</si>
  <si>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</si>
  <si>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</si>
  <si>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</si>
  <si>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</si>
  <si>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</si>
  <si>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</si>
  <si>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</si>
  <si>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</si>
  <si>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</si>
  <si>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</si>
  <si>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</si>
  <si>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</si>
  <si>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</si>
  <si>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</si>
  <si>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</si>
  <si>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</si>
  <si>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</si>
  <si>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V514.isobutanol_price = x</t>
  </si>
  <si>
    <t>DDGS.price =x</t>
  </si>
  <si>
    <t>makeup_isopentyl_acetate.price = x</t>
  </si>
  <si>
    <t>Feedstock starch content</t>
  </si>
  <si>
    <t>kg/kg-water</t>
  </si>
  <si>
    <t>feedstock.imass['Starch'] =x * feedstock.imass['Water']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</si>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</sst>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70" zoomScaleNormal="70" workbookViewId="0">
      <selection activeCell="I17" sqref="I17"/>
    </sheetView>
  </sheetViews>
  <sheetFormatPr defaultRowHeight="14.5" x14ac:dyDescent="0.35"/>
  <cols>
    <col min="1" max="1" width="40.81640625" customWidth="1"/>
    <col min="2" max="2" width="16.7265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168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159</v>
      </c>
    </row>
    <row r="12" spans="1:11" x14ac:dyDescent="0.35">
      <c r="A12" s="4" t="s">
        <v>169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f t="shared" si="0"/>
        <v>1.1919999999999999</v>
      </c>
      <c r="H12" s="4">
        <f>E12</f>
        <v>1.49</v>
      </c>
      <c r="I12" s="4">
        <f>1.2*E12</f>
        <v>1.788</v>
      </c>
      <c r="J12" s="4"/>
      <c r="K12" s="4" t="s">
        <v>158</v>
      </c>
    </row>
    <row r="13" spans="1:11" x14ac:dyDescent="0.35">
      <c r="A13" s="4" t="s">
        <v>164</v>
      </c>
      <c r="B13" s="4" t="s">
        <v>7</v>
      </c>
      <c r="C13" s="4" t="s">
        <v>20</v>
      </c>
      <c r="D13" s="4" t="s">
        <v>10</v>
      </c>
      <c r="E13" s="4">
        <v>3.2</v>
      </c>
      <c r="F13" s="4" t="s">
        <v>18</v>
      </c>
      <c r="G13" s="4">
        <f t="shared" si="0"/>
        <v>2.5600000000000005</v>
      </c>
      <c r="H13" s="4"/>
      <c r="I13" s="4">
        <f t="shared" si="1"/>
        <v>3.84</v>
      </c>
      <c r="J13" s="4"/>
      <c r="K13" s="4" t="s">
        <v>160</v>
      </c>
    </row>
    <row r="14" spans="1:11" x14ac:dyDescent="0.35">
      <c r="A14" s="6" t="s">
        <v>35</v>
      </c>
      <c r="B14" s="6" t="s">
        <v>7</v>
      </c>
      <c r="C14" s="6" t="s">
        <v>20</v>
      </c>
      <c r="D14" s="6" t="s">
        <v>10</v>
      </c>
      <c r="E14" s="6">
        <v>0.28599999999999998</v>
      </c>
      <c r="F14" s="6" t="s">
        <v>27</v>
      </c>
      <c r="G14" s="6">
        <v>0.17499999999999999</v>
      </c>
      <c r="H14" s="6">
        <v>0.28599999999999998</v>
      </c>
      <c r="I14" s="6">
        <v>0.315</v>
      </c>
      <c r="J14" s="6"/>
      <c r="K14" s="6" t="s">
        <v>85</v>
      </c>
    </row>
    <row r="15" spans="1:11" x14ac:dyDescent="0.35">
      <c r="A15" s="6" t="s">
        <v>36</v>
      </c>
      <c r="B15" s="6" t="s">
        <v>7</v>
      </c>
      <c r="C15" s="6" t="s">
        <v>20</v>
      </c>
      <c r="D15" s="6" t="s">
        <v>10</v>
      </c>
      <c r="E15" s="6">
        <v>0.10355</v>
      </c>
      <c r="F15" s="6" t="s">
        <v>27</v>
      </c>
      <c r="G15" s="6">
        <f>E15*0.9</f>
        <v>9.3195E-2</v>
      </c>
      <c r="H15" s="6">
        <f>E15</f>
        <v>0.10355</v>
      </c>
      <c r="I15" s="6">
        <f>E15*1.1</f>
        <v>0.11390500000000001</v>
      </c>
      <c r="J15" s="6"/>
      <c r="K15" s="6" t="s">
        <v>86</v>
      </c>
    </row>
    <row r="16" spans="1:11" x14ac:dyDescent="0.35">
      <c r="A16" s="3" t="s">
        <v>31</v>
      </c>
      <c r="B16" s="3" t="s">
        <v>7</v>
      </c>
      <c r="C16" s="3" t="s">
        <v>20</v>
      </c>
      <c r="D16" s="3" t="s">
        <v>8</v>
      </c>
      <c r="E16" s="3">
        <v>0.21</v>
      </c>
      <c r="F16" s="3" t="s">
        <v>18</v>
      </c>
      <c r="G16" s="3">
        <v>0.15</v>
      </c>
      <c r="H16" s="3"/>
      <c r="I16" s="3">
        <v>0.28000000000000003</v>
      </c>
      <c r="J16" s="3"/>
      <c r="K16" s="3" t="s">
        <v>34</v>
      </c>
    </row>
    <row r="17" spans="1:11" x14ac:dyDescent="0.35">
      <c r="A17" s="3" t="s">
        <v>32</v>
      </c>
      <c r="B17" s="3" t="s">
        <v>7</v>
      </c>
      <c r="C17" s="3" t="s">
        <v>20</v>
      </c>
      <c r="D17" s="3" t="s">
        <v>8</v>
      </c>
      <c r="E17" s="3">
        <v>0.15</v>
      </c>
      <c r="F17" s="3" t="s">
        <v>18</v>
      </c>
      <c r="G17" s="3">
        <f>0.8*E17</f>
        <v>0.12</v>
      </c>
      <c r="H17" s="3"/>
      <c r="I17" s="3">
        <f>1.2*E17</f>
        <v>0.18</v>
      </c>
      <c r="J17" s="3"/>
      <c r="K17" s="3" t="s">
        <v>33</v>
      </c>
    </row>
    <row r="18" spans="1:11" x14ac:dyDescent="0.35">
      <c r="A18" s="3" t="s">
        <v>161</v>
      </c>
      <c r="B18" s="3" t="s">
        <v>39</v>
      </c>
      <c r="C18" s="3" t="s">
        <v>21</v>
      </c>
      <c r="D18" s="3" t="s">
        <v>162</v>
      </c>
      <c r="E18" s="3">
        <v>4.08</v>
      </c>
      <c r="F18" s="3" t="s">
        <v>27</v>
      </c>
      <c r="G18" s="3">
        <f>0.8*H18</f>
        <v>3.2640000000000002</v>
      </c>
      <c r="H18" s="3">
        <f>E18</f>
        <v>4.08</v>
      </c>
      <c r="I18" s="3">
        <f>1.2*H18</f>
        <v>4.8959999999999999</v>
      </c>
      <c r="J18" s="3"/>
      <c r="K18" s="3" t="s">
        <v>163</v>
      </c>
    </row>
    <row r="19" spans="1:11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</row>
    <row r="20" spans="1:11" x14ac:dyDescent="0.35">
      <c r="A20" s="3" t="s">
        <v>165</v>
      </c>
      <c r="B20" s="3" t="s">
        <v>166</v>
      </c>
      <c r="C20" s="3" t="s">
        <v>21</v>
      </c>
      <c r="D20" s="3" t="s">
        <v>12</v>
      </c>
      <c r="E20" s="3">
        <v>2</v>
      </c>
      <c r="F20" s="3" t="s">
        <v>18</v>
      </c>
      <c r="G20" s="3">
        <v>1</v>
      </c>
      <c r="H20" s="3"/>
      <c r="I20" s="3">
        <v>3</v>
      </c>
      <c r="J20" s="3"/>
      <c r="K20" s="3" t="s">
        <v>167</v>
      </c>
    </row>
    <row r="21" spans="1:11" x14ac:dyDescent="0.35">
      <c r="A21" s="3" t="s">
        <v>52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54</v>
      </c>
    </row>
    <row r="22" spans="1:11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</row>
    <row r="23" spans="1:11" x14ac:dyDescent="0.35">
      <c r="A23" s="3" t="s">
        <v>121</v>
      </c>
      <c r="B23" s="3" t="s">
        <v>147</v>
      </c>
      <c r="C23" s="3" t="s">
        <v>21</v>
      </c>
      <c r="D23" s="3" t="s">
        <v>65</v>
      </c>
      <c r="E23" s="3">
        <v>1.43</v>
      </c>
      <c r="F23" s="3" t="s">
        <v>66</v>
      </c>
      <c r="G23" s="3">
        <v>1.1439999999999999</v>
      </c>
      <c r="H23" s="3">
        <v>1.43</v>
      </c>
      <c r="I23" s="3">
        <v>1.716</v>
      </c>
      <c r="J23" s="3"/>
      <c r="K23" s="3" t="s">
        <v>62</v>
      </c>
    </row>
    <row r="24" spans="1:11" x14ac:dyDescent="0.35">
      <c r="A24" s="3" t="s">
        <v>104</v>
      </c>
      <c r="B24" s="3" t="s">
        <v>147</v>
      </c>
      <c r="C24" s="3" t="s">
        <v>21</v>
      </c>
      <c r="D24" s="3" t="s">
        <v>67</v>
      </c>
      <c r="E24" s="3">
        <v>0.94</v>
      </c>
      <c r="F24" s="3" t="s">
        <v>66</v>
      </c>
      <c r="G24" s="3">
        <v>0.752</v>
      </c>
      <c r="H24" s="3">
        <v>0.94</v>
      </c>
      <c r="I24" s="3">
        <v>1.1279999999999999</v>
      </c>
      <c r="J24" s="3"/>
      <c r="K24" s="3" t="s">
        <v>87</v>
      </c>
    </row>
    <row r="25" spans="1:11" x14ac:dyDescent="0.35">
      <c r="A25" s="3" t="s">
        <v>122</v>
      </c>
      <c r="B25" s="3" t="s">
        <v>147</v>
      </c>
      <c r="C25" s="3" t="s">
        <v>21</v>
      </c>
      <c r="D25" s="3" t="s">
        <v>65</v>
      </c>
      <c r="E25" s="3">
        <v>0.58399999999999996</v>
      </c>
      <c r="F25" s="3" t="s">
        <v>66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58</v>
      </c>
    </row>
    <row r="26" spans="1:11" x14ac:dyDescent="0.35">
      <c r="A26" s="3" t="s">
        <v>105</v>
      </c>
      <c r="B26" s="3" t="s">
        <v>147</v>
      </c>
      <c r="C26" s="3" t="s">
        <v>21</v>
      </c>
      <c r="D26" s="3" t="s">
        <v>67</v>
      </c>
      <c r="E26" s="3">
        <v>1.1599999999999999E-2</v>
      </c>
      <c r="F26" s="3" t="s">
        <v>66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88</v>
      </c>
    </row>
    <row r="27" spans="1:11" x14ac:dyDescent="0.35">
      <c r="A27" s="3" t="s">
        <v>123</v>
      </c>
      <c r="B27" s="3" t="s">
        <v>147</v>
      </c>
      <c r="C27" s="3" t="s">
        <v>21</v>
      </c>
      <c r="D27" s="3" t="s">
        <v>65</v>
      </c>
      <c r="E27" s="3">
        <v>47.1</v>
      </c>
      <c r="F27" s="3" t="s">
        <v>66</v>
      </c>
      <c r="G27" s="3">
        <v>37.68</v>
      </c>
      <c r="H27" s="3">
        <v>47.1</v>
      </c>
      <c r="I27" s="3">
        <v>56.52</v>
      </c>
      <c r="J27" s="3"/>
      <c r="K27" s="3" t="s">
        <v>57</v>
      </c>
    </row>
    <row r="28" spans="1:11" x14ac:dyDescent="0.35">
      <c r="A28" s="3" t="s">
        <v>106</v>
      </c>
      <c r="B28" s="3" t="s">
        <v>147</v>
      </c>
      <c r="C28" s="3" t="s">
        <v>21</v>
      </c>
      <c r="D28" s="3" t="s">
        <v>67</v>
      </c>
      <c r="E28" s="3">
        <v>14.2</v>
      </c>
      <c r="F28" s="3" t="s">
        <v>66</v>
      </c>
      <c r="G28" s="3">
        <v>11.36</v>
      </c>
      <c r="H28" s="3">
        <v>14.2</v>
      </c>
      <c r="I28" s="3">
        <v>17.04</v>
      </c>
      <c r="J28" s="3"/>
      <c r="K28" s="3" t="s">
        <v>89</v>
      </c>
    </row>
    <row r="29" spans="1:11" x14ac:dyDescent="0.35">
      <c r="A29" s="3" t="s">
        <v>107</v>
      </c>
      <c r="B29" s="3" t="s">
        <v>147</v>
      </c>
      <c r="C29" s="3" t="s">
        <v>21</v>
      </c>
      <c r="D29" s="3" t="s">
        <v>67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90</v>
      </c>
    </row>
    <row r="30" spans="1:11" x14ac:dyDescent="0.35">
      <c r="A30" s="3" t="s">
        <v>124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59</v>
      </c>
    </row>
    <row r="31" spans="1:11" x14ac:dyDescent="0.35">
      <c r="A31" s="3" t="s">
        <v>125</v>
      </c>
      <c r="B31" s="3" t="s">
        <v>147</v>
      </c>
      <c r="C31" s="3" t="s">
        <v>21</v>
      </c>
      <c r="D31" s="3" t="s">
        <v>65</v>
      </c>
      <c r="E31" s="3">
        <v>0.12</v>
      </c>
      <c r="F31" s="3" t="s">
        <v>66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60</v>
      </c>
    </row>
    <row r="32" spans="1:11" x14ac:dyDescent="0.35">
      <c r="A32" s="3" t="s">
        <v>126</v>
      </c>
      <c r="B32" s="3" t="s">
        <v>147</v>
      </c>
      <c r="C32" s="3" t="s">
        <v>21</v>
      </c>
      <c r="D32" s="3" t="s">
        <v>65</v>
      </c>
      <c r="E32" s="3">
        <v>0.04</v>
      </c>
      <c r="F32" s="3" t="s">
        <v>66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61</v>
      </c>
    </row>
    <row r="33" spans="1:11" x14ac:dyDescent="0.35">
      <c r="A33" s="3" t="s">
        <v>127</v>
      </c>
      <c r="B33" s="3" t="s">
        <v>148</v>
      </c>
      <c r="C33" s="3" t="s">
        <v>21</v>
      </c>
      <c r="D33" s="3" t="s">
        <v>65</v>
      </c>
      <c r="E33" s="3">
        <v>0.501</v>
      </c>
      <c r="F33" s="3" t="s">
        <v>66</v>
      </c>
      <c r="G33" s="3">
        <v>0.40079999999999999</v>
      </c>
      <c r="H33" s="3">
        <v>0.501</v>
      </c>
      <c r="I33" s="3">
        <v>0.60119999999999996</v>
      </c>
      <c r="J33" s="3"/>
      <c r="K33" s="3" t="s">
        <v>56</v>
      </c>
    </row>
    <row r="34" spans="1:11" x14ac:dyDescent="0.35">
      <c r="A34" s="3" t="s">
        <v>108</v>
      </c>
      <c r="B34" s="3" t="s">
        <v>148</v>
      </c>
      <c r="C34" s="3" t="s">
        <v>21</v>
      </c>
      <c r="D34" s="3" t="s">
        <v>67</v>
      </c>
      <c r="E34" s="5">
        <v>2.0000000000000002E-5</v>
      </c>
      <c r="F34" s="3" t="s">
        <v>66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91</v>
      </c>
    </row>
    <row r="35" spans="1:11" x14ac:dyDescent="0.35">
      <c r="A35" s="3" t="s">
        <v>109</v>
      </c>
      <c r="B35" s="3" t="s">
        <v>148</v>
      </c>
      <c r="C35" s="3" t="s">
        <v>21</v>
      </c>
      <c r="D35" s="3" t="s">
        <v>67</v>
      </c>
      <c r="E35" s="3">
        <v>0.10100000000000001</v>
      </c>
      <c r="F35" s="3" t="s">
        <v>66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92</v>
      </c>
    </row>
    <row r="36" spans="1:11" x14ac:dyDescent="0.35">
      <c r="A36" s="3" t="s">
        <v>128</v>
      </c>
      <c r="B36" s="3" t="s">
        <v>149</v>
      </c>
      <c r="C36" s="3" t="s">
        <v>21</v>
      </c>
      <c r="D36" s="3" t="s">
        <v>65</v>
      </c>
      <c r="E36" s="3">
        <v>5.81</v>
      </c>
      <c r="F36" s="3" t="s">
        <v>66</v>
      </c>
      <c r="G36" s="3">
        <v>4.6479999999999997</v>
      </c>
      <c r="H36" s="3">
        <v>5.81</v>
      </c>
      <c r="I36" s="3">
        <v>6.9719999999999898</v>
      </c>
      <c r="J36" s="3"/>
      <c r="K36" s="3" t="s">
        <v>63</v>
      </c>
    </row>
    <row r="37" spans="1:11" x14ac:dyDescent="0.35">
      <c r="A37" s="3" t="s">
        <v>110</v>
      </c>
      <c r="B37" s="3" t="s">
        <v>149</v>
      </c>
      <c r="C37" s="3" t="s">
        <v>21</v>
      </c>
      <c r="D37" s="3" t="s">
        <v>67</v>
      </c>
      <c r="E37" s="5">
        <v>4.9999999999999998E-7</v>
      </c>
      <c r="F37" s="3" t="s">
        <v>66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93</v>
      </c>
    </row>
    <row r="38" spans="1:11" x14ac:dyDescent="0.35">
      <c r="A38" s="3" t="s">
        <v>129</v>
      </c>
      <c r="B38" s="3" t="s">
        <v>150</v>
      </c>
      <c r="C38" s="3" t="s">
        <v>21</v>
      </c>
      <c r="D38" s="3" t="s">
        <v>65</v>
      </c>
      <c r="E38" s="3">
        <v>4.8</v>
      </c>
      <c r="F38" s="3" t="s">
        <v>66</v>
      </c>
      <c r="G38" s="3">
        <v>3.84</v>
      </c>
      <c r="H38" s="3">
        <v>4.8</v>
      </c>
      <c r="I38" s="3">
        <v>5.76</v>
      </c>
      <c r="J38" s="3"/>
      <c r="K38" s="3" t="s">
        <v>64</v>
      </c>
    </row>
    <row r="39" spans="1:11" x14ac:dyDescent="0.35">
      <c r="A39" s="3" t="s">
        <v>130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68</v>
      </c>
    </row>
    <row r="40" spans="1:11" x14ac:dyDescent="0.35">
      <c r="A40" s="3" t="s">
        <v>131</v>
      </c>
      <c r="B40" s="3" t="s">
        <v>150</v>
      </c>
      <c r="C40" s="3" t="s">
        <v>21</v>
      </c>
      <c r="D40" s="3" t="s">
        <v>65</v>
      </c>
      <c r="E40" s="3">
        <v>0.12</v>
      </c>
      <c r="F40" s="3" t="s">
        <v>66</v>
      </c>
      <c r="G40" s="3">
        <v>9.6000000000000002E-2</v>
      </c>
      <c r="H40" s="3">
        <v>0.12</v>
      </c>
      <c r="I40" s="3">
        <v>0.14399999999999999</v>
      </c>
      <c r="J40" s="3"/>
      <c r="K40" s="3" t="s">
        <v>69</v>
      </c>
    </row>
    <row r="41" spans="1:11" x14ac:dyDescent="0.35">
      <c r="A41" s="3" t="s">
        <v>132</v>
      </c>
      <c r="B41" s="3" t="s">
        <v>150</v>
      </c>
      <c r="C41" s="3" t="s">
        <v>21</v>
      </c>
      <c r="D41" s="3" t="s">
        <v>65</v>
      </c>
      <c r="E41" s="3">
        <v>0.04</v>
      </c>
      <c r="F41" s="3" t="s">
        <v>66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70</v>
      </c>
    </row>
    <row r="42" spans="1:11" x14ac:dyDescent="0.35">
      <c r="A42" s="3" t="s">
        <v>111</v>
      </c>
      <c r="B42" s="3" t="s">
        <v>150</v>
      </c>
      <c r="C42" s="3" t="s">
        <v>21</v>
      </c>
      <c r="D42" s="3" t="s">
        <v>67</v>
      </c>
      <c r="E42" s="3">
        <v>2.6400000000000002E-4</v>
      </c>
      <c r="F42" s="3" t="s">
        <v>66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94</v>
      </c>
    </row>
    <row r="43" spans="1:11" x14ac:dyDescent="0.35">
      <c r="A43" s="3" t="s">
        <v>133</v>
      </c>
      <c r="B43" s="3" t="s">
        <v>155</v>
      </c>
      <c r="C43" s="3" t="s">
        <v>21</v>
      </c>
      <c r="D43" s="3" t="s">
        <v>65</v>
      </c>
      <c r="E43" s="3">
        <v>1.04E-2</v>
      </c>
      <c r="F43" s="3" t="s">
        <v>66</v>
      </c>
      <c r="G43" s="3">
        <v>8.3199999999999993E-3</v>
      </c>
      <c r="H43" s="3">
        <v>1.04E-2</v>
      </c>
      <c r="I43" s="3">
        <v>1.248E-2</v>
      </c>
      <c r="J43" s="3"/>
      <c r="K43" s="3" t="s">
        <v>71</v>
      </c>
    </row>
    <row r="44" spans="1:11" x14ac:dyDescent="0.35">
      <c r="A44" s="3" t="s">
        <v>112</v>
      </c>
      <c r="B44" s="3" t="s">
        <v>155</v>
      </c>
      <c r="C44" s="3" t="s">
        <v>21</v>
      </c>
      <c r="D44" s="3" t="s">
        <v>67</v>
      </c>
      <c r="E44" s="3">
        <v>1.0200000000000001E-2</v>
      </c>
      <c r="F44" s="3" t="s">
        <v>66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95</v>
      </c>
    </row>
    <row r="45" spans="1:11" x14ac:dyDescent="0.35">
      <c r="A45" s="3" t="s">
        <v>134</v>
      </c>
      <c r="B45" s="3" t="s">
        <v>155</v>
      </c>
      <c r="C45" s="3" t="s">
        <v>21</v>
      </c>
      <c r="D45" s="3" t="s">
        <v>65</v>
      </c>
      <c r="E45" s="3">
        <v>0.77500000000000002</v>
      </c>
      <c r="F45" s="3" t="s">
        <v>66</v>
      </c>
      <c r="G45" s="3">
        <v>0.62</v>
      </c>
      <c r="H45" s="3">
        <v>0.77500000000000002</v>
      </c>
      <c r="I45" s="3">
        <v>0.92999999999999905</v>
      </c>
      <c r="J45" s="3"/>
      <c r="K45" s="3" t="s">
        <v>72</v>
      </c>
    </row>
    <row r="46" spans="1:11" x14ac:dyDescent="0.35">
      <c r="A46" s="3" t="s">
        <v>113</v>
      </c>
      <c r="B46" s="3" t="s">
        <v>155</v>
      </c>
      <c r="C46" s="3" t="s">
        <v>21</v>
      </c>
      <c r="D46" s="3" t="s">
        <v>67</v>
      </c>
      <c r="E46" s="3">
        <v>0.1</v>
      </c>
      <c r="F46" s="3" t="s">
        <v>66</v>
      </c>
      <c r="G46" s="3">
        <v>0.08</v>
      </c>
      <c r="H46" s="3">
        <v>0.1</v>
      </c>
      <c r="I46" s="3">
        <v>0.12</v>
      </c>
      <c r="J46" s="3"/>
      <c r="K46" s="3" t="s">
        <v>96</v>
      </c>
    </row>
    <row r="47" spans="1:11" x14ac:dyDescent="0.35">
      <c r="A47" s="3" t="s">
        <v>114</v>
      </c>
      <c r="B47" s="3" t="s">
        <v>155</v>
      </c>
      <c r="C47" s="3" t="s">
        <v>21</v>
      </c>
      <c r="D47" s="3" t="s">
        <v>67</v>
      </c>
      <c r="E47" s="3">
        <v>440</v>
      </c>
      <c r="F47" s="3" t="s">
        <v>66</v>
      </c>
      <c r="G47" s="3">
        <v>352</v>
      </c>
      <c r="H47" s="3">
        <v>440</v>
      </c>
      <c r="I47" s="3">
        <v>528</v>
      </c>
      <c r="J47" s="3"/>
      <c r="K47" s="3" t="s">
        <v>97</v>
      </c>
    </row>
    <row r="48" spans="1:11" x14ac:dyDescent="0.35">
      <c r="A48" s="3" t="s">
        <v>135</v>
      </c>
      <c r="B48" s="3" t="s">
        <v>151</v>
      </c>
      <c r="C48" s="3" t="s">
        <v>21</v>
      </c>
      <c r="D48" s="3" t="s">
        <v>65</v>
      </c>
      <c r="E48" s="3">
        <v>2.82</v>
      </c>
      <c r="F48" s="3" t="s">
        <v>66</v>
      </c>
      <c r="G48" s="3">
        <v>2.2559999999999998</v>
      </c>
      <c r="H48" s="3">
        <v>2.82</v>
      </c>
      <c r="I48" s="3">
        <v>3.3839999999999999</v>
      </c>
      <c r="J48" s="3"/>
      <c r="K48" s="3" t="s">
        <v>73</v>
      </c>
    </row>
    <row r="49" spans="1:11" x14ac:dyDescent="0.35">
      <c r="A49" s="3" t="s">
        <v>136</v>
      </c>
      <c r="B49" s="3" t="s">
        <v>151</v>
      </c>
      <c r="C49" s="3" t="s">
        <v>21</v>
      </c>
      <c r="D49" s="3" t="s">
        <v>65</v>
      </c>
      <c r="E49" s="3">
        <v>1.2500000000000001E-2</v>
      </c>
      <c r="F49" s="3" t="s">
        <v>66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74</v>
      </c>
    </row>
    <row r="50" spans="1:11" x14ac:dyDescent="0.35">
      <c r="A50" s="3" t="s">
        <v>115</v>
      </c>
      <c r="B50" s="3" t="s">
        <v>151</v>
      </c>
      <c r="C50" s="3" t="s">
        <v>21</v>
      </c>
      <c r="D50" s="3" t="s">
        <v>67</v>
      </c>
      <c r="E50" s="3">
        <v>3.4000000000000002E-2</v>
      </c>
      <c r="F50" s="3" t="s">
        <v>66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98</v>
      </c>
    </row>
    <row r="51" spans="1:11" x14ac:dyDescent="0.35">
      <c r="A51" s="3" t="s">
        <v>116</v>
      </c>
      <c r="B51" s="3" t="s">
        <v>151</v>
      </c>
      <c r="C51" s="3" t="s">
        <v>21</v>
      </c>
      <c r="D51" s="3" t="s">
        <v>67</v>
      </c>
      <c r="E51" s="3">
        <v>5.7000000000000002E-2</v>
      </c>
      <c r="F51" s="3" t="s">
        <v>66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99</v>
      </c>
    </row>
    <row r="52" spans="1:11" x14ac:dyDescent="0.35">
      <c r="A52" s="3" t="s">
        <v>137</v>
      </c>
      <c r="B52" s="3" t="s">
        <v>152</v>
      </c>
      <c r="C52" s="3" t="s">
        <v>21</v>
      </c>
      <c r="D52" s="3" t="s">
        <v>65</v>
      </c>
      <c r="E52" s="3">
        <v>1.2030000000000001</v>
      </c>
      <c r="F52" s="3" t="s">
        <v>66</v>
      </c>
      <c r="G52" s="3">
        <v>0.96240000000000003</v>
      </c>
      <c r="H52" s="3">
        <v>1.2030000000000001</v>
      </c>
      <c r="I52" s="3">
        <v>1.4436</v>
      </c>
      <c r="J52" s="3"/>
      <c r="K52" s="3" t="s">
        <v>75</v>
      </c>
    </row>
    <row r="53" spans="1:11" x14ac:dyDescent="0.35">
      <c r="A53" s="3" t="s">
        <v>138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76</v>
      </c>
    </row>
    <row r="54" spans="1:11" x14ac:dyDescent="0.35">
      <c r="A54" s="3" t="s">
        <v>139</v>
      </c>
      <c r="B54" s="3" t="s">
        <v>152</v>
      </c>
      <c r="C54" s="3" t="s">
        <v>21</v>
      </c>
      <c r="D54" s="3" t="s">
        <v>65</v>
      </c>
      <c r="E54" s="3">
        <v>0.12</v>
      </c>
      <c r="F54" s="3" t="s">
        <v>66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77</v>
      </c>
    </row>
    <row r="55" spans="1:11" x14ac:dyDescent="0.35">
      <c r="A55" s="3" t="s">
        <v>140</v>
      </c>
      <c r="B55" s="3" t="s">
        <v>152</v>
      </c>
      <c r="C55" s="3" t="s">
        <v>21</v>
      </c>
      <c r="D55" s="3" t="s">
        <v>65</v>
      </c>
      <c r="E55" s="3">
        <v>0.04</v>
      </c>
      <c r="F55" s="3" t="s">
        <v>66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78</v>
      </c>
    </row>
    <row r="56" spans="1:11" x14ac:dyDescent="0.35">
      <c r="A56" s="3" t="s">
        <v>117</v>
      </c>
      <c r="B56" s="3" t="s">
        <v>152</v>
      </c>
      <c r="C56" s="3" t="s">
        <v>21</v>
      </c>
      <c r="D56" s="3" t="s">
        <v>67</v>
      </c>
      <c r="E56" s="3">
        <v>1.01E-2</v>
      </c>
      <c r="F56" s="3" t="s">
        <v>66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100</v>
      </c>
    </row>
    <row r="57" spans="1:11" x14ac:dyDescent="0.35">
      <c r="A57" s="3" t="s">
        <v>141</v>
      </c>
      <c r="B57" s="3" t="s">
        <v>153</v>
      </c>
      <c r="C57" s="3" t="s">
        <v>21</v>
      </c>
      <c r="D57" s="3" t="s">
        <v>65</v>
      </c>
      <c r="E57" s="3">
        <v>0.58899999999999997</v>
      </c>
      <c r="F57" s="3" t="s">
        <v>66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79</v>
      </c>
    </row>
    <row r="58" spans="1:11" x14ac:dyDescent="0.35">
      <c r="A58" s="3" t="s">
        <v>142</v>
      </c>
      <c r="B58" s="3" t="s">
        <v>154</v>
      </c>
      <c r="C58" s="3" t="s">
        <v>21</v>
      </c>
      <c r="D58" s="3" t="s">
        <v>65</v>
      </c>
      <c r="E58" s="3">
        <v>8.0000000000000002E-3</v>
      </c>
      <c r="F58" s="3" t="s">
        <v>66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80</v>
      </c>
    </row>
    <row r="59" spans="1:11" x14ac:dyDescent="0.35">
      <c r="A59" s="3" t="s">
        <v>118</v>
      </c>
      <c r="B59" s="3" t="s">
        <v>154</v>
      </c>
      <c r="C59" s="3" t="s">
        <v>21</v>
      </c>
      <c r="D59" s="3" t="s">
        <v>67</v>
      </c>
      <c r="E59" s="5">
        <v>9.9999999999999995E-7</v>
      </c>
      <c r="F59" s="3" t="s">
        <v>66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101</v>
      </c>
    </row>
    <row r="60" spans="1:11" x14ac:dyDescent="0.35">
      <c r="A60" s="3" t="s">
        <v>143</v>
      </c>
      <c r="B60" s="3" t="s">
        <v>154</v>
      </c>
      <c r="C60" s="3" t="s">
        <v>21</v>
      </c>
      <c r="D60" s="3" t="s">
        <v>65</v>
      </c>
      <c r="E60" s="3">
        <v>7.51E-2</v>
      </c>
      <c r="F60" s="3" t="s">
        <v>66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81</v>
      </c>
    </row>
    <row r="61" spans="1:11" x14ac:dyDescent="0.35">
      <c r="A61" s="3" t="s">
        <v>119</v>
      </c>
      <c r="B61" s="3" t="s">
        <v>154</v>
      </c>
      <c r="C61" s="3" t="s">
        <v>21</v>
      </c>
      <c r="D61" s="3" t="s">
        <v>67</v>
      </c>
      <c r="E61" s="3">
        <v>13</v>
      </c>
      <c r="F61" s="3" t="s">
        <v>66</v>
      </c>
      <c r="G61" s="3">
        <v>10.4</v>
      </c>
      <c r="H61" s="3">
        <v>13</v>
      </c>
      <c r="I61" s="3">
        <v>15.6</v>
      </c>
      <c r="J61" s="3"/>
      <c r="K61" s="3" t="s">
        <v>102</v>
      </c>
    </row>
    <row r="62" spans="1:11" x14ac:dyDescent="0.35">
      <c r="A62" s="3" t="s">
        <v>120</v>
      </c>
      <c r="B62" s="3" t="s">
        <v>154</v>
      </c>
      <c r="C62" s="3" t="s">
        <v>21</v>
      </c>
      <c r="D62" s="3" t="s">
        <v>67</v>
      </c>
      <c r="E62" s="3">
        <v>25</v>
      </c>
      <c r="F62" s="3" t="s">
        <v>66</v>
      </c>
      <c r="G62" s="3">
        <v>20</v>
      </c>
      <c r="H62" s="3">
        <v>25</v>
      </c>
      <c r="I62" s="3">
        <v>30</v>
      </c>
      <c r="J62" s="3"/>
      <c r="K62" s="3" t="s">
        <v>103</v>
      </c>
    </row>
    <row r="63" spans="1:11" x14ac:dyDescent="0.35">
      <c r="A63" s="3" t="s">
        <v>144</v>
      </c>
      <c r="B63" s="3" t="s">
        <v>154</v>
      </c>
      <c r="C63" s="3" t="s">
        <v>21</v>
      </c>
      <c r="D63" s="3" t="s">
        <v>65</v>
      </c>
      <c r="E63" s="3">
        <v>3.9899999999999996E-3</v>
      </c>
      <c r="F63" s="3" t="s">
        <v>66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82</v>
      </c>
    </row>
    <row r="64" spans="1:11" x14ac:dyDescent="0.35">
      <c r="A64" s="3" t="s">
        <v>145</v>
      </c>
      <c r="B64" s="3" t="s">
        <v>156</v>
      </c>
      <c r="C64" s="3" t="s">
        <v>21</v>
      </c>
      <c r="D64" s="3" t="s">
        <v>65</v>
      </c>
      <c r="E64" s="3">
        <v>0.06</v>
      </c>
      <c r="F64" s="3" t="s">
        <v>66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83</v>
      </c>
    </row>
    <row r="65" spans="1:11" x14ac:dyDescent="0.35">
      <c r="A65" s="3" t="s">
        <v>146</v>
      </c>
      <c r="B65" s="3" t="s">
        <v>157</v>
      </c>
      <c r="C65" s="3" t="s">
        <v>21</v>
      </c>
      <c r="D65" s="3" t="s">
        <v>65</v>
      </c>
      <c r="E65" s="3">
        <v>0.02</v>
      </c>
      <c r="F65" s="3" t="s">
        <v>66</v>
      </c>
      <c r="G65" s="3">
        <v>1.6E-2</v>
      </c>
      <c r="H65" s="3">
        <v>0.02</v>
      </c>
      <c r="I65" s="3">
        <v>2.4E-2</v>
      </c>
      <c r="J65" s="3"/>
      <c r="K65" s="3" t="s">
        <v>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2026-03-16T21:43:56Z</dcterms:modified>
</cp:coreProperties>
</file>