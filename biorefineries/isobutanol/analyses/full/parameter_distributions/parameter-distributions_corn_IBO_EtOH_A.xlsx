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A6EDC3A7-2A4F-4EA9-B5B1-0964BDF6A7DD}" xr6:coauthVersionLast="47" xr6:coauthVersionMax="47" xr10:uidLastSave="{00000000-0000-0000-0000-000000000000}"/>
  <bookViews>
    <workbookView xWindow="-28920" yWindow="249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I16" i="1" s="1"/>
  <c r="G11" i="1"/>
  <c r="I11" i="1"/>
  <c r="H17" i="1"/>
  <c r="G17" i="1" s="1"/>
  <c r="I15" i="1"/>
  <c r="G15" i="1"/>
  <c r="I20" i="1"/>
  <c r="H20" i="1"/>
  <c r="G20" i="1"/>
  <c r="H4" i="1"/>
  <c r="H5" i="1"/>
  <c r="H13" i="1"/>
  <c r="H19" i="1"/>
  <c r="I19" i="1"/>
  <c r="G19" i="1"/>
  <c r="I10" i="1"/>
  <c r="G10" i="1"/>
  <c r="I8" i="1"/>
  <c r="G8" i="1"/>
  <c r="I9" i="1"/>
  <c r="G9" i="1"/>
  <c r="I7" i="1"/>
  <c r="G7" i="1"/>
  <c r="G16" i="1" l="1"/>
  <c r="I17" i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<sst xmlns="http://schemas.openxmlformats.org/spreadsheetml/2006/main" count="383" uniqueCount="166">
  <si>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</si>
  <si>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</si>
  <si>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</si>
  <si>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</si>
  <si>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</si>
  <si>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</si>
  <si>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</si>
  <si>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</si>
  <si>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</si>
  <si>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</si>
  <si>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</si>
  <si>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</si>
  <si>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</si>
  <si>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</si>
  <si>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</si>
  <si>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</si>
  <si>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</si>
  <si>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</si>
  <si>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</si>
  <si>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</si>
  <si>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</si>
  <si>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</si>
  <si>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</si>
  <si>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</si>
  <si>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</si>
  <si>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</si>
  <si>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</si>
  <si>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</si>
  <si>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</si>
  <si>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</si>
  <si>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</si>
  <si>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</si>
  <si>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</si>
  <si>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</si>
  <si>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</si>
  <si>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</si>
  <si>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</si>
  <si>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</si>
  <si>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</si>
  <si>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</si>
  <si>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</si>
  <si>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</si>
  <si>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</si>
  <si>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</si>
  <si>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</si>
  <si>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</si>
  <si>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</si>
  <si>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</si>
  <si>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</si>
  <si>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</si>
  <si>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</si>
  <si>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</si>
  <si>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</si>
  <si>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</si>
  <si>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</si>
  <si>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</si>
  <si>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</si>
  <si>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</si>
  <si>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</si>
  <si>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</si>
  <si>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</si>
  <si>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</si>
  <si>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</si>
  <si>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</si>
  <si>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</si>
  <si>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</si>
  <si>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</si>
  <si>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</si>
  <si>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</si>
  <si>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</si>
  <si>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</si>
  <si>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</si>
  <si>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</si>
  <si>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</si>
  <si>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</si>
  <si>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</si>
  <si>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</si>
  <si>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</si>
  <si>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</si>
  <si>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</si>
  <si>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</si>
  <si>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</si>
  <si>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</si>
  <si>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</si>
  <si>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</si>
  <si>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</si>
  <si>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</si>
  <si>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</si>
  <si>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</si>
  <si>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</si>
  <si>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</si>
  <si>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</si>
  <si>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</si>
  <si>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</si>
  <si>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</si>
  <si>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</si>
  <si>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</si>
  <si>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</si>
  <si>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</si>
  <si>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</si>
  <si>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</si>
  <si>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</si>
  <si>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</si>
  <si>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</si>
  <si>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</si>
  <si>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</si>
  <si>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</si>
  <si>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</si>
  <si>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</si>
  <si>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</si>
  <si>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</si>
  <si>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</si>
  <si>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</si>
  <si>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</si>
  <si>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</si>
  <si>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</si>
  <si>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</si>
  <si>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</si>
  <si>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</si>
  <si>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</si>
  <si>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</si>
  <si>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</si>
  <si>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</si>
  <si>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</si>
  <si>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</si>
  <si>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</si>
  <si>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</si>
  <si>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</si>
  <si>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</si>
  <si>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</si>
  <si>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</si>
  <si>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</si>
  <si>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</si>
  <si>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</si>
  <si>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</si>
  <si>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</si>
  <si>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</si>
  <si>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</si>
  <si>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</si>
  <si>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</si>
  <si>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</si>
  <si>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</si>
  <si>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</si>
  <si>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</si>
  <si>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</si>
  <si>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</si>
  <si>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</si>
  <si>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</si>
  <si>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</si>
  <si>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</si>
  <si>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</si>
  <si>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</si>
  <si>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</si>
  <si>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</si>
  <si>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</si>
  <si>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</si>
  <si>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</si>
  <si>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</si>
  <si>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</si>
  <si>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</si>
  <si>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kg/kg-water</t>
  </si>
  <si>
    <t>feedstock.imass['Starch'] =x * feedstock.imass['Water']</t>
  </si>
  <si>
    <t>Aeration rate safety factor</t>
  </si>
  <si>
    <t>Fermentation</t>
  </si>
  <si>
    <t>V406.aeration_safety_factor = x</t>
  </si>
  <si>
    <t>DDGS unit price (sale)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</si>
</sst>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="70" zoomScaleNormal="70" workbookViewId="0">
      <selection activeCell="K22" sqref="K22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165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27</v>
      </c>
      <c r="G13" s="6">
        <f>E13*0.9</f>
        <v>9.3195E-2</v>
      </c>
      <c r="H13" s="6">
        <f>E13</f>
        <v>0.10355</v>
      </c>
      <c r="I13" s="6">
        <f>E13*1.1</f>
        <v>0.11390500000000001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159</v>
      </c>
      <c r="B16" s="3" t="s">
        <v>39</v>
      </c>
      <c r="C16" s="3" t="s">
        <v>21</v>
      </c>
      <c r="D16" s="3" t="s">
        <v>160</v>
      </c>
      <c r="E16" s="3">
        <v>4.08</v>
      </c>
      <c r="F16" s="3" t="s">
        <v>27</v>
      </c>
      <c r="G16" s="3">
        <f>0.8*H16</f>
        <v>3.2640000000000002</v>
      </c>
      <c r="H16" s="3">
        <f>E16</f>
        <v>4.08</v>
      </c>
      <c r="I16" s="3">
        <f>1.2*H16</f>
        <v>4.8959999999999999</v>
      </c>
      <c r="J16" s="3"/>
      <c r="K16" s="3" t="s">
        <v>161</v>
      </c>
    </row>
    <row r="17" spans="1:11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</row>
    <row r="18" spans="1:11" x14ac:dyDescent="0.35">
      <c r="A18" s="3" t="s">
        <v>162</v>
      </c>
      <c r="B18" s="3" t="s">
        <v>163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164</v>
      </c>
    </row>
    <row r="19" spans="1:11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</row>
    <row r="22" spans="1:11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</row>
    <row r="23" spans="1:11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</row>
    <row r="24" spans="1:11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</row>
    <row r="25" spans="1:11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</row>
    <row r="26" spans="1:11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</row>
    <row r="27" spans="1:11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</row>
    <row r="28" spans="1:11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</row>
    <row r="29" spans="1:11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</row>
    <row r="30" spans="1:11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</row>
    <row r="31" spans="1:11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</row>
    <row r="32" spans="1:11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</row>
    <row r="33" spans="1:11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</row>
    <row r="34" spans="1:11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</row>
    <row r="35" spans="1:11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</row>
    <row r="36" spans="1:11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</row>
    <row r="37" spans="1:11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</row>
    <row r="38" spans="1:11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</row>
    <row r="39" spans="1:11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</row>
    <row r="40" spans="1:11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</row>
    <row r="41" spans="1:11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</row>
    <row r="42" spans="1:11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</row>
    <row r="43" spans="1:11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</row>
    <row r="44" spans="1:11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</row>
    <row r="45" spans="1:11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</row>
    <row r="46" spans="1:11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</row>
    <row r="47" spans="1:11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</row>
    <row r="48" spans="1:11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</row>
    <row r="49" spans="1:11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</row>
    <row r="50" spans="1:11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</row>
    <row r="51" spans="1:11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</row>
    <row r="52" spans="1:11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</row>
    <row r="53" spans="1:11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</row>
    <row r="54" spans="1:11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</row>
    <row r="55" spans="1:11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</row>
    <row r="57" spans="1:11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</row>
    <row r="58" spans="1:11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</row>
    <row r="59" spans="1:11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</row>
    <row r="60" spans="1:11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</row>
    <row r="61" spans="1:11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</row>
    <row r="62" spans="1:11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</row>
    <row r="63" spans="1:11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2026-06-10T22:17:43Z</dcterms:modified>
</cp:coreProperties>
</file>